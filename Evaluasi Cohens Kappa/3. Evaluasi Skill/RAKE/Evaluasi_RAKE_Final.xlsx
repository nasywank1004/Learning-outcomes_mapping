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defaultThemeVersion="124226"/>
  <mc:AlternateContent xmlns:mc="http://schemas.openxmlformats.org/markup-compatibility/2006">
    <mc:Choice Requires="x15">
      <x15ac:absPath xmlns:x15ac="http://schemas.microsoft.com/office/spreadsheetml/2010/11/ac" url="C:\Users\asus\Downloads\FIX\Cohens Kappa\Kappa Rill\3. Evaluasi Skill\RAKE\"/>
    </mc:Choice>
  </mc:AlternateContent>
  <xr:revisionPtr revIDLastSave="0" documentId="13_ncr:1_{F5F76309-F273-4702-8B8E-88F0A5A0798D}" xr6:coauthVersionLast="45" xr6:coauthVersionMax="45" xr10:uidLastSave="{00000000-0000-0000-0000-000000000000}"/>
  <bookViews>
    <workbookView xWindow="-108" yWindow="-108" windowWidth="23256" windowHeight="12456" xr2:uid="{00000000-000D-0000-FFFF-FFFF00000000}"/>
  </bookViews>
  <sheets>
    <sheet name="Hasil CLO" sheetId="1" r:id="rId1"/>
    <sheet name="Hasil SFIA" sheetId="2" r:id="rId2"/>
  </sheets>
  <calcPr calcId="191029"/>
</workbook>
</file>

<file path=xl/calcChain.xml><?xml version="1.0" encoding="utf-8"?>
<calcChain xmlns="http://schemas.openxmlformats.org/spreadsheetml/2006/main">
  <c r="I22" i="2" l="1"/>
  <c r="H22" i="2"/>
  <c r="G22" i="2"/>
  <c r="F22" i="2"/>
  <c r="E22" i="2"/>
  <c r="D22" i="2"/>
  <c r="H22" i="1"/>
  <c r="I22" i="1"/>
  <c r="G22" i="1"/>
  <c r="E22" i="1"/>
  <c r="F22" i="1"/>
  <c r="D22" i="1"/>
</calcChain>
</file>

<file path=xl/sharedStrings.xml><?xml version="1.0" encoding="utf-8"?>
<sst xmlns="http://schemas.openxmlformats.org/spreadsheetml/2006/main" count="138" uniqueCount="130">
  <si>
    <t>Nama Mata Kuliah</t>
  </si>
  <si>
    <t>Ground Truth</t>
  </si>
  <si>
    <t>System Skills</t>
  </si>
  <si>
    <t>TP</t>
  </si>
  <si>
    <t>FP</t>
  </si>
  <si>
    <t>FN</t>
  </si>
  <si>
    <t>Precision</t>
  </si>
  <si>
    <t>Recall</t>
  </si>
  <si>
    <t>F1-Score</t>
  </si>
  <si>
    <t>Introduction to Information Systems</t>
  </si>
  <si>
    <t>Algorithms and Programming</t>
  </si>
  <si>
    <t>Algorithms and Programming (Practicum)</t>
  </si>
  <si>
    <t>Descriptive Statistics</t>
  </si>
  <si>
    <t>Business Function and Process</t>
  </si>
  <si>
    <t>Database</t>
  </si>
  <si>
    <t>Database (Practicum)</t>
  </si>
  <si>
    <t>Object Oriented Programming</t>
  </si>
  <si>
    <t>Operating System</t>
  </si>
  <si>
    <t>Analysis and Design of Information System</t>
  </si>
  <si>
    <t>Machine Learning</t>
  </si>
  <si>
    <t>Machine Learning (Practicum)</t>
  </si>
  <si>
    <t>Computer Network</t>
  </si>
  <si>
    <t>Web Programming</t>
  </si>
  <si>
    <t>Mobile Programming</t>
  </si>
  <si>
    <t>Interaction Design</t>
  </si>
  <si>
    <t>Interaction Design (Practicum)</t>
  </si>
  <si>
    <t>Software Development</t>
  </si>
  <si>
    <t>Data Visualization and Analysis</t>
  </si>
  <si>
    <t>Enterprise Architecture Planning</t>
  </si>
  <si>
    <t>business intelligence, data sources, decision making, electronic, electronic business system, electronic business systems, electronic trading systems, hardware components, information system architecture, information systems, information technology, infrastructure, infrastructure management, it solutions, management, networks, security and ethical, software components, system architecture, system implementation, systems business, telecommunications</t>
  </si>
  <si>
    <t>algorithms, conditional if, flowcharts, for loops looping, java, programming, programming languages, python, recursive function, variable and operators, while function</t>
  </si>
  <si>
    <t>algorithms, arithmetic operators, flowcharts, functions, java, logical operators, programming, programming language, programming languages, python, recursive, variable, while loop</t>
  </si>
  <si>
    <t>calculating, cluster analysis, component analysis, correspondence analysis, data center, data description, data set, data sets, data visualization, identifying, interpreting, measuring, normalization, principal component analysis, probability, sampling, summarize</t>
  </si>
  <si>
    <t>business process, business process analysis, business process model, business processes, finance, government, human resource, identify, manufacturing, marketing, process analysis, process design, process model, production marketing, reengineering, resource marketing</t>
  </si>
  <si>
    <t>calculus, data definition language, data manipulation, data manipulation language, data model, data modelling, data type, database, database design, database development, database management system, database model, dbms, design databases, entity relationship, indexing, management system, normalization, relational database, relational model, sql, storage, volatile non volatile</t>
  </si>
  <si>
    <t>calculus, data definition language, data manipulation, data manipulation language, data model, data modelling, data type, database, database model, diagram, entity relationship, normalization, recursive, relational database, sql, volatile non volatile</t>
  </si>
  <si>
    <t>abstract class, constructor, destructor, exception handling, inheritance, operator overloading, polymorphism, programming, type conversion</t>
  </si>
  <si>
    <t>basic structure, computer system, file configuration, file system, functions process, java, java virtual machine, linux, management, memory management, operating system, process management, system development, virtual machine, windows</t>
  </si>
  <si>
    <t>analysis, data design, data flow diagram, design, design design, design information, design interface, information system, information systems, interface design, modeling language, object oriented, requirement specification, system development, system requirement, unified modeling language</t>
  </si>
  <si>
    <t>algorithms, analytics, artificial neural network, bayes classifier, decision trees, k mean cluster, k nearest neighbors, machine learn, machine learning, recommender system, support vector machine</t>
  </si>
  <si>
    <t>algorithms, data preprocessing, machine algorithms, machine learning, tools, transformation</t>
  </si>
  <si>
    <t>application layer, computer network, data link layer, dns, information technology, lan, local networks, network architecture, network computer, network layer, network service, routing protocols, subnetting, transport layer, wan, wider areas</t>
  </si>
  <si>
    <t>backend, css, frontend, html, information technology, javascript, oop, php framework, programming, programming concept, web programming</t>
  </si>
  <si>
    <t>darts, database access, flutter, mobile applications, programming, widgets</t>
  </si>
  <si>
    <t>collaborative tools, construction, data analysis, data gathering, design interaction, emotional interaction, interaction design, interface design, need analysis, presentation, prototyping</t>
  </si>
  <si>
    <t>collaborative tools, color, design interaction, design thinking, interaction, interaction design, interface design, usability, wireframes</t>
  </si>
  <si>
    <t>case, development software, documents software, information system, installation, integrated, practicum, project based, requirement management, software design, software development, software project, software testing, system development</t>
  </si>
  <si>
    <t>analysis, analysis cluster, analyze data, data analysis, data data, data data data, data exploration, data visualization, visualization, visualize</t>
  </si>
  <si>
    <t>application architecture, architecture framework, building blocks, business architecture, business strategy, data architecture, data architectures, diagrams, enterprise architecture, enterprise architecture framework, information system, modeling, modelling, planning, required business, requirements requirements, risk analysis, technology architecture</t>
  </si>
  <si>
    <t>able, business, companies, company electronic trading systems business intelligence, course discusses usability technology people, course students, data sources, decision making, developing information systems implementation, ethical challenges, expected, field, generally explain theoretical concepts, global management, information system architecture business within, information system architecture security, information system components globalization, information system infrastructure management, information system infrastructure software components, information system infrastructure telecommunications, information systems, information systems hardware components, information systems information technology, networks, organizations business, role, solutions, strategy, support information system infrastructure electronic business systems, taking</t>
  </si>
  <si>
    <t>able, algorithms, course discusses introduction, course students, create algorithms, expected, flowcharts variables, function, function recursive functions java implementation, implement, loops java implementation, loops looping, loops python implementation, operators conditional, participating, programming, programming languages k3, recursive function python implementation, variables conditional</t>
  </si>
  <si>
    <t>able, course discusses introduction, course students, create algorithms, expected, flowcharts programming language variable arithmetic operators logical operators conditionals loop, implement, java programming, loop functions subroutines recursive implementation, participating, programming languages, python</t>
  </si>
  <si>
    <t>able, becomes clear, concept, concepts, continuous distributions sampling distribution applies, correspondence analysis, course discusses data visualization, course students, creating, data center variability measuring, data set using, data using standard ranges, data visualization, deviations, expected, graphs b principal component analysis c cluster analysis, identifying outliers, interpreting, interpreting graphs central tendency calculating, interquartile ranges slope, multivariate data, normalization, participating, present numerical information, probability, probability distributions discrete, sample data sets data description, sharpness random variables, size, spread, summarize, useful k2</t>
  </si>
  <si>
    <t>able, business functions, company education manufacturing health government services, course discusses introduction, course students, expected, finance identify business processes within, improve business processes k3, model, organization human resource production marketing, others business process analysis business process modeling business process design, processes general business processes within, reengineering, taking</t>
  </si>
  <si>
    <t>able, benefits, build relational database models correctly, certain case study students, course discusses introduction, covers definition, data confidentiality, data indexing case study designing er model cdm, data type mandatory optional volatile non volatile unique, database, database background, database course students, database design, database development c identify, database entity instance attribute, database management system dbms e explain basic principles, database usage, dbms, demonstrate, design databases according, expected, expertise independently b explain basic principles, field, historical modelling dependency, implement, integrity security, levels, needs, normalisation relational algebra, normalization implementation, organization, participating, physical data model pdm changes, precisely according, primary attributes relation inheritance, recursive modelling entity relationship diagram conceptual data modelling cdm, relation schema reparation, relational calculus sql data definition language ddl sql data manipulation language dml sql trigger storage space, relational model pdm evaluation, responsible attitude towards work</t>
  </si>
  <si>
    <t>able, benefits, build relational database models correctly, certain case study, course discusses introduction, course students, covers definition, data type mandatory optional volatile non volatile unique, database, database background, database entity instance attribute, database usage, expected, historical modelling dependency, normalization relational algebra, participating, physical data model pdm changes, precisely according, primary attributes relation inheritance, recursive modelling entity relationship diagram conceptual data modelling cdm, relation schema reparation, relational calculus sql data definition language ddl sql data manipulation language dml</t>
  </si>
  <si>
    <t>able, concept, course discusses introduction, course students, data type conversion inheritance abstract class, destructor operator overloading, expected, interface polymorphism exception handling input, object constructor, object oriented programming basic expressions function class, object oriented programming correctly k3, output stream, taking, use</t>
  </si>
  <si>
    <t>able, basic structure, computer operating systems development, computer system, computer systems, course discusses, course students, determine, expected, functions process management processor scheduling techniques memory management virtual memory management file system file configuration, java virtual machine operating systems, management, operating system, operating system needs k4, taking, windows linux</t>
  </si>
  <si>
    <t>able, course discusses information system development cycle information system development method analysis, course students, data flow diagrams object oriented approach unified modeling language function procedure design data design interface design, design information systems based, expected, information system requirements structured approach, participating, predetermined requirements specifications</t>
  </si>
  <si>
    <t>able, bayes classifier k means clustering genetic algorithm support vector machines recommender system, certain cases, course discusses introduction, course students, determine machine learning algorithms, expected, machine learning data analytics decision trees artificial neural network ann k nearest neighbors knn na, participating</t>
  </si>
  <si>
    <t>able, certain cases, course discusses introduction, course students, data preprocessing classification clustering, expected, participating, tools data, transformation, use machine learning algorithms</t>
  </si>
  <si>
    <t>able, apply, apply concepts theories, basis, building, computer network, computer networks, computer networks computer network architecture data link layer network layer ip, course discusses computer network services introduction, course students, designing computer networks, expected, fully understand computer networks design local networks lan, netmask subnetting routing protocols transport layer application layer application dns mail monitoring maintenance, participating, rules, support information technology development, well, wider areas wan</t>
  </si>
  <si>
    <t>able, apply, apply concepts theories, build, course discusses web programming concept basic html frontend programming css javascript php basics oop php backend programming php framework, course students, development, expected, information technology k3, participating, rules, simple web, support, web programming</t>
  </si>
  <si>
    <t>able, course discusses introduction, course students, darts flutter structure develop ui, develop mobile based applications k3, expected, flutter basic programming, flutter stateless, participating, stateful widgets database access</t>
  </si>
  <si>
    <t>able, applying interface design principles, concept, construction evaluation, course discusses introduction, course students, design interaction designs, expected, interaction cognitive aspects social interaction emotional interaction data gathering data analysis interpretation, interaction design, presentation needs analysis designing prototyping, taking, using collaborative tools</t>
  </si>
  <si>
    <t>able, applying interface design principles, color color meaning background color color, course discusses use, course students, design interaction designs, expected, fonts size style color alignment use, help documentation evaluation, highlight information use, icons use, images, sound, taking, using collaborative tools, video layouts interaction components button combo radio etc dialogue component scenarios wireframes design thinking usability guide</t>
  </si>
  <si>
    <t>able, asked, assignment, build software, build software well create information system development documents, course discusses concepts, course students, development software requirements management software development strategy software design implementation strategy monitoring software development software testing preparation, expected, groups students, integrated, issues, participating, perform software testing properly, software design, software development course practicum, software project, software supporting documents software handover installation configuration training support, specific case studies project based discussion</t>
  </si>
  <si>
    <t>able, analyze data, business data, course discusses introductory data visualization data exploration data visualization models high dimensional visualization multivariate visualization visualizing trees, course students, data analysis, expected, forests smoothing techniques analysis cluster visualization graphical exploration, participating, results, visualize</t>
  </si>
  <si>
    <t>able, application architecture preparation evaluation, application architecture roadmaps determination, assistive devices, baseline, business architecture baselines, business architecture determination, business architecture roadmap determination, business building blocks determination, business strategy organization, course discusses determination, course students, data architecture roadmaps determination, design, design data architectures preparation evaluation, enterprise architecture framework, expected, finalization, gaps, matrices diagrams, modeling methods viewpoints, participating, required building blocks preparation evaluation, required business architecture modeling methods, requirements requirements required, strategic information system planning aligned, target business architecture preparation evaluation, targets, technology, technology architectural modeling methods, technology architecture roadmap architectural implementation risk analysis architecture implementation strategy enterprise development, types, use, well</t>
  </si>
  <si>
    <t>Skill - Level</t>
  </si>
  <si>
    <t>Information security - Level 7</t>
  </si>
  <si>
    <t>Risk management - Level 7</t>
  </si>
  <si>
    <t>Artificial intelligence (AI) and data ethics - Level 6</t>
  </si>
  <si>
    <t>Audit - Level 5</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</si>
  <si>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</si>
  <si>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</si>
  <si>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</si>
  <si>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</si>
  <si>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</si>
  <si>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</si>
  <si>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</si>
  <si>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</si>
  <si>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</si>
  <si>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</si>
  <si>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</si>
  <si>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</si>
  <si>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</si>
  <si>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</si>
  <si>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</si>
  <si>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</si>
  <si>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business strategy, enterprise information, execute, information security, operational plans, resources, security control, security controls, security management, security management strategies, security strategy</t>
  </si>
  <si>
    <t>communicating, delegate authority, execution, governance, managing risk, planning, resources, risk appetite, risk management</t>
  </si>
  <si>
    <t>allocates resources, artificial intelligence (ai) and data ethics, decision processes, governance, high level, industry, promoting, resources</t>
  </si>
  <si>
    <t>activities, audit, collaborates, control, cross functional, integrate, investigation, management, mechanisms, organisational policy, plans, presents, professionals, risk based, supply chain</t>
  </si>
  <si>
    <t>audits, corrective action, international standard, maintains compliance, management framework, plans, plans systematic, quality improvement, quality management, reduce errors, strategy business</t>
  </si>
  <si>
    <t>budgets, business priority, change control, collaboration, communicates, governance, leadership, management, manages change, monitors performance, performance metric, proactively, product quality, project management, project quality, risks, scale, timelines, tools manages</t>
  </si>
  <si>
    <t>backlog, customer user, developing content, managing, product lifecycle, product management, product requirement, user research</t>
  </si>
  <si>
    <t>activities, adoption, designing systems, development programme, develops system, organisational policy, system architecture, system design, system development, systems design</t>
  </si>
  <si>
    <t>adapts software, corrective action, decision making, design method, designing software, impact analysis, modules, prototypes, simulations, software applications, software design, systems management, tools</t>
  </si>
  <si>
    <t>access, adoption, business requirement, business requirements, communication networks, network design, organisational policy, reliability, scalability</t>
  </si>
  <si>
    <t>activities, developing software, iterations, monitors applications, organisational policy, plans, programming/software development, software, software construction, software development, software security, stage, stages, tools</t>
  </si>
  <si>
    <t>control, controls, data governance, data management, governance, integrity, maintains, management process, plans, sources, transformation</t>
  </si>
  <si>
    <t>accessing, analytics, architectures software, business intelligence, data systems, data warehouse, database design, database management system, design policies, expert guidance, maintaining, management system, mechanisms, services, services provides, transactional data, warehouse architectures</t>
  </si>
  <si>
    <t>adoption, aligns business, analytics, business strategy, communicating, cross functional, data analytics, data science, decision making, embedded, governance, leadership, organisational performance, transformation</t>
  </si>
  <si>
    <t>adoption, create value, data mining, data science, data sets, decision, decision making, innovation, mathematics statistics, organisational policy, predict, predictive modelling, tools</t>
  </si>
  <si>
    <t>adaptability, collaborates, developing systems, improving performance, infrastructure, learn development, machine learn, machine learning, machine learning projects, mlops, operations, pipelines, tools</t>
  </si>
  <si>
    <t>continuous integration, data engineering, data management, data management plan, data pipeline, functional requirement, functional requirements, monitoring, organisational policy, processing systems, real time, reliable, scalability, scalable, securing, standards architectures</t>
  </si>
  <si>
    <t>automates, data sets, data visualisation, data visuals, decision making, decision processes, experimentation, visualisation techniques</t>
  </si>
  <si>
    <t>adopted, collaboration, collaborations, coordinating, cross functional teams, decisions, high level, incident management, leadership, management process, swift</t>
  </si>
  <si>
    <t>coordinates, investigate, management process, managing, problem management, reporting systems, resolve problems</t>
  </si>
  <si>
    <t>business strategies, business strategy ensures compliance, defining, development implementation delivery, enterprise information security strategy aligned, execute, execute strategic, framework, information security, information security expertise guidance, information security leads, information security strategy, operating, operational plans secures organisational resources, provision, security controls, security management strategies directs, support, systems needed</t>
  </si>
  <si>
    <t>alignment, appetite, communicates, communicating, detailed planning, enterprise aligned, execution, governance, governance frameworks establishes, implement, implementing processes, managing risk across, organisation, organisational strategy, planning, risk appetite, risk management, risk management activities across, risk management strategy defining, risk provides resources, risk strategy delegates authority, strategic objectives defines</t>
  </si>
  <si>
    <t>ai, artificial intelligence (ai) and data ethics, commitment, data initiatives defines governance processes, data technologies sets direction, decision making processes allocates resources, design development deployment, develop, drive industry recommended practices develops, ensure compliance, ethical assurance, ethical practices ensures, ethical standards engages, ethics, experts, implementing, implements strategic ethical frameworks leads high level reviews, industry bodies, organisation, promoting ethical practices, resources, skills, support, use</t>
  </si>
  <si>
    <t>achieve, across, audit, audit objectives presents audit findings, audit programme, complex domains areas cross functional areas, compliance environment, conducts audits, control mechanisms provides general, controls, delivering independent risk based assessments, develop, effectiveness, efficiency, integrate findings, investigation, management aligns, management describing, objectives, organisation plans organises, organisational policies determines appropriate methods, processes, professionals, related specialisms, scope, specific audit activities, specific audit advice collaborates, supply chain confirms</t>
  </si>
  <si>
    <t>application, appropriate prioritises areas, appropriate quality management techniques, areas initiates improvements, changing approaches, considering strategy business objectives, defining, deliver, external audits initiates, improve, internal, international standards, maintains compliance, management framework, national, operating, organisation, plans systematic corrective action, processes, quality, quality improvement, quality management, quality objectives achieves, reduce errors, results, services, systems, working practices, working practices typically using recognised models identifies</t>
  </si>
  <si>
    <t>according, aligning appropriate management techniques collaboration leadership, assesses risks ensuring projects align, business priorities communicates regularly, corrective actions, definition approach facilitation, delivering agreed project outcomes, governance, governance frameworks, medium scale projects provides effective leadership, needed, organisational contexts takes full responsibility, procedure proactively monitors performance metrics implementing preventive, product quality reviews occur, project management, project team adopting suitable project management methods, satisfactory completion, schedule, specific project, stakeholders ensuring project deliverables meet agreed standards budgets, timelines ensures project, tools manages change control processes</t>
  </si>
  <si>
    <t>achieve financial, decline, developing content supporting, developing products, develops product roadmaps owns, evaluating campaigns, full lifecycle, growth maturity, inception, lower value products, managing, market, meet customer user needs, monitoring product performance rolls, opportunities facilitates uptake, product backlog manages elements, product launches, product lifecycle, product management, product trials, products, retirement manages one, services prioritises product requirements, services throughout, targets uses insights, understand needs, usage data, user research feedback expert opinion</t>
  </si>
  <si>
    <t>adherence, agreed systems architectures develops, appropriate systems design lifecycle models leads system design activities, complex systems development programmes develops effective implementation strategies consistent, constraints, designing systems, drives adoption, existing technologies, feasibility develops system design requiring, importance, introduction, meet specified requirements, methods, new technologies, new uses, organisational policies standards guidelines, performance, selection, specified requirements architectures, strategic large, system design champions, system design principles, systems design, value</t>
  </si>
  <si>
    <t>adapts software design methods tools, architecting, architects large, architecture policies, assesses, complex software applications components, designing software, development, enable informed decision making evaluates software designs, ensure adherence, established standards, identifies corrective action ensures, major design options makes recommendations, manages associated risks specifies prototypes simulations, meet specified requirements ensuring adherence, modules adopts, organisational software design, principles specifies designs, software design, software design balances functional quality security, standards, systems management requirements contributes, techniques undertakes impact analysis</t>
  </si>
  <si>
    <t>access develops, adherence, alignment, criteria covering connectivity capacity interfacing security resilience recovery, designing communication networks, drives adoption, major aspects, meet business requirements ensuring scalability reliability security, methods, network design, network specification standards technologies, organisation produces network design policies principles, organisational policies standards guidelines, overall network design models within, strategic objectives takes responsibility</t>
  </si>
  <si>
    <t>adapts appropriate software development methods tools, deliver value, developing software components, development, drives software construction activities adopts, guidelines, iterations, monitors applications, organisational policies standards, programming/software development, project team standards, software construction including software security contributes, software development, software development plans, stages, stakeholders takes technical responsibility across, techniques measures</t>
  </si>
  <si>
    <t>control protect, data, data assesses, data assets devises, data management, developing, formal data, formats, governance, implementing plans policies, implements data governance, implements data handling procedures enables data availability integrity, integrity, master data management processes, media maintains, metadata structures, multiple sources advises, optimise, practices, protection measures, searchability, specific subsets, transformation, value</t>
  </si>
  <si>
    <t>accessing data across various environments, analytics platforms, availability, business intelligence, data warehouse architectures software, data warehouse products services provides expert guidance, database, database design, database management systems, design characteristics, facilities ensures design policies optimise transactional data systems, maintaining mechanisms, meeting, needs, performance, platforms provides specialist expertise, selection provision, specifying designing, storing, use</t>
  </si>
  <si>
    <t>adoption, communicating insights, creation, cross functional enterprise wide approach, culture, data analytics, data science, data science capabilities, data science capabilities ensures, data science drives, data science strategies, embedded, enabling data driven decision making, extracting analysing, generating value, governance, identification evaluation, leadership, organisation, organisation aligns business strategies enterprise transformation, provision, review, strategic application, structured, transform organisational performance leads, unstructured data directs</t>
  </si>
  <si>
    <t>adherence, applying mathematics statistics data mining, business value develops, complex data science initiatives, data champions, data science, data science plans, data science sets direction, data science techniques methodologies, development, drive decision making, drive innovation, drives adoption, gain insights predict behaviours, generate insights create value, generate value, introduction, leads, leads strategic large, methods, organisational capabilities, organisational policies standards guidelines, predictive modelling techniques, tools leads, use</t>
  </si>
  <si>
    <t>adaptability, align machine learning initiatives, applications collaborates, complex high impact business problems architects end, data, developing systems, development, dynamic environments leads, end machine learning pipelines, experience improving performance accuracy, guidance, implementation, infrastructure, learn, machine learning, machine learning development, machine learning projects establishes practices, machine learning solutions, machine learning techniques, operations provides expert advice, organisational goals, selects tools frameworks, stakeholders, standards, systems incorporating mlops practices evaluates</t>
  </si>
  <si>
    <t>data engineering, data engineering solutions balancing functional, data standards architectures, designing building operationalising securing, development, drives, guidelines, monitoring data pipelines stores, monitoring practices contributes, non functional requirements monitors application, organisational policies standards, promotes continuous integration deployment, real time processing systems, reliable data management plans, scalability develops, scalable, security ensuring compliance</t>
  </si>
  <si>
    <t>appearance, applicable options develops narratives around data sets, automates activities, content, data, data visualisation, data visuals operationalises, data visuals selects appropriate visualisation approaches, designs, displaying concepts ideas, efficient, enhance understanding, experimentation, exploration, facilitating understanding, facts using graphical representations applies, guide decision making processes, key insights contributes, range, timely production, variety, visualisation techniques</t>
  </si>
  <si>
    <t>adopted across, coordinating responses, development, directs, diverse range, ensure swift recovery leads, ensures, external partners makes high level decisions, incident management, incident management aligned, incident management processes, incident management promotes organisational collaboration, incident management strategy establishes policies, incidents, major incidents coordinating cross functional teams, minimise impact, minimise negative impacts, organisation, organisational capabilities, organisational goals provides leadership, quickly restore services shapes, standards, understood</t>
  </si>
  <si>
    <t>agreed remedies, anticipate investigate, could occur, delivering, fully documented within, implementation, improves problem management processes, lifecycle, managing, occurred, preventative measures analyses patterns, problem management, problem solutions coordinates, problems, relevant reporting systems enables development, resolve problems, service ensures appropriate action, services ensures problems, systems, taken,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</si>
</sst>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2" borderId="0" xfId="0" applyFill="1"/>
    <xf numFmtId="2" fontId="0" fillId="0" borderId="0" xfId="0" applyNumberFormat="1"/>
    <xf numFmtId="166" fontId="0" fillId="2"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workbookViewId="0">
      <selection activeCell="D22" sqref="D22:I22"/>
    </sheetView>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t="s">
        <v>29</v>
      </c>
      <c r="C2" t="s">
        <v>49</v>
      </c>
      <c r="D2">
        <v>4</v>
      </c>
      <c r="E2">
        <v>26</v>
      </c>
      <c r="F2">
        <v>18</v>
      </c>
      <c r="G2" s="3">
        <v>0.1333333333333333</v>
      </c>
      <c r="H2" s="3">
        <v>0.1818181818181818</v>
      </c>
      <c r="I2" s="3">
        <v>0.1538461538461538</v>
      </c>
    </row>
    <row r="3" spans="1:9" x14ac:dyDescent="0.3">
      <c r="A3" t="s">
        <v>10</v>
      </c>
      <c r="B3" t="s">
        <v>30</v>
      </c>
      <c r="C3" t="s">
        <v>50</v>
      </c>
      <c r="D3">
        <v>2</v>
      </c>
      <c r="E3">
        <v>17</v>
      </c>
      <c r="F3">
        <v>9</v>
      </c>
      <c r="G3" s="3">
        <v>0.10526315789473679</v>
      </c>
      <c r="H3" s="3">
        <v>0.1818181818181818</v>
      </c>
      <c r="I3" s="3">
        <v>0.1333333333333333</v>
      </c>
    </row>
    <row r="4" spans="1:9" x14ac:dyDescent="0.3">
      <c r="A4" t="s">
        <v>11</v>
      </c>
      <c r="B4" t="s">
        <v>31</v>
      </c>
      <c r="C4" t="s">
        <v>51</v>
      </c>
      <c r="D4">
        <v>2</v>
      </c>
      <c r="E4">
        <v>10</v>
      </c>
      <c r="F4">
        <v>11</v>
      </c>
      <c r="G4" s="3">
        <v>0.16666666666666671</v>
      </c>
      <c r="H4" s="3">
        <v>0.15384615384615391</v>
      </c>
      <c r="I4" s="3">
        <v>0.16</v>
      </c>
    </row>
    <row r="5" spans="1:9" x14ac:dyDescent="0.3">
      <c r="A5" t="s">
        <v>12</v>
      </c>
      <c r="B5" t="s">
        <v>32</v>
      </c>
      <c r="C5" t="s">
        <v>52</v>
      </c>
      <c r="D5">
        <v>6</v>
      </c>
      <c r="E5">
        <v>26</v>
      </c>
      <c r="F5">
        <v>11</v>
      </c>
      <c r="G5" s="3">
        <v>0.1875</v>
      </c>
      <c r="H5" s="3">
        <v>0.35294117647058831</v>
      </c>
      <c r="I5" s="3">
        <v>0.24489795918367341</v>
      </c>
    </row>
    <row r="6" spans="1:9" x14ac:dyDescent="0.3">
      <c r="A6" t="s">
        <v>13</v>
      </c>
      <c r="B6" t="s">
        <v>33</v>
      </c>
      <c r="C6" t="s">
        <v>53</v>
      </c>
      <c r="D6">
        <v>1</v>
      </c>
      <c r="E6">
        <v>13</v>
      </c>
      <c r="F6">
        <v>15</v>
      </c>
      <c r="G6" s="3">
        <v>7.1428571428571425E-2</v>
      </c>
      <c r="H6" s="3">
        <v>6.25E-2</v>
      </c>
      <c r="I6" s="3">
        <v>6.6666666666666666E-2</v>
      </c>
    </row>
    <row r="7" spans="1:9" x14ac:dyDescent="0.3">
      <c r="A7" t="s">
        <v>14</v>
      </c>
      <c r="B7" t="s">
        <v>34</v>
      </c>
      <c r="C7" t="s">
        <v>54</v>
      </c>
      <c r="D7">
        <v>3</v>
      </c>
      <c r="E7">
        <v>37</v>
      </c>
      <c r="F7">
        <v>20</v>
      </c>
      <c r="G7" s="3">
        <v>7.4999999999999997E-2</v>
      </c>
      <c r="H7" s="3">
        <v>0.13043478260869559</v>
      </c>
      <c r="I7" s="3">
        <v>9.5238095238095233E-2</v>
      </c>
    </row>
    <row r="8" spans="1:9" x14ac:dyDescent="0.3">
      <c r="A8" t="s">
        <v>15</v>
      </c>
      <c r="B8" t="s">
        <v>35</v>
      </c>
      <c r="C8" t="s">
        <v>55</v>
      </c>
      <c r="D8">
        <v>1</v>
      </c>
      <c r="E8">
        <v>21</v>
      </c>
      <c r="F8">
        <v>15</v>
      </c>
      <c r="G8" s="3">
        <v>4.5454545454545463E-2</v>
      </c>
      <c r="H8" s="3">
        <v>6.25E-2</v>
      </c>
      <c r="I8" s="3">
        <v>5.2631578947368432E-2</v>
      </c>
    </row>
    <row r="9" spans="1:9" x14ac:dyDescent="0.3">
      <c r="A9" t="s">
        <v>16</v>
      </c>
      <c r="B9" t="s">
        <v>36</v>
      </c>
      <c r="C9" t="s">
        <v>56</v>
      </c>
      <c r="D9">
        <v>0</v>
      </c>
      <c r="E9">
        <v>14</v>
      </c>
      <c r="F9">
        <v>9</v>
      </c>
      <c r="G9" s="3">
        <v>0</v>
      </c>
      <c r="H9" s="3">
        <v>0</v>
      </c>
      <c r="I9" s="3">
        <v>0</v>
      </c>
    </row>
    <row r="10" spans="1:9" x14ac:dyDescent="0.3">
      <c r="A10" t="s">
        <v>17</v>
      </c>
      <c r="B10" t="s">
        <v>37</v>
      </c>
      <c r="C10" t="s">
        <v>57</v>
      </c>
      <c r="D10">
        <v>4</v>
      </c>
      <c r="E10">
        <v>12</v>
      </c>
      <c r="F10">
        <v>11</v>
      </c>
      <c r="G10" s="3">
        <v>0.25</v>
      </c>
      <c r="H10" s="3">
        <v>0.26666666666666672</v>
      </c>
      <c r="I10" s="3">
        <v>0.25806451612903231</v>
      </c>
    </row>
    <row r="11" spans="1:9" x14ac:dyDescent="0.3">
      <c r="A11" t="s">
        <v>18</v>
      </c>
      <c r="B11" t="s">
        <v>38</v>
      </c>
      <c r="C11" t="s">
        <v>58</v>
      </c>
      <c r="D11">
        <v>0</v>
      </c>
      <c r="E11">
        <v>9</v>
      </c>
      <c r="F11">
        <v>16</v>
      </c>
      <c r="G11" s="3">
        <v>0</v>
      </c>
      <c r="H11" s="3">
        <v>0</v>
      </c>
      <c r="I11" s="3">
        <v>0</v>
      </c>
    </row>
    <row r="12" spans="1:9" x14ac:dyDescent="0.3">
      <c r="A12" t="s">
        <v>19</v>
      </c>
      <c r="B12" t="s">
        <v>39</v>
      </c>
      <c r="C12" t="s">
        <v>59</v>
      </c>
      <c r="D12">
        <v>0</v>
      </c>
      <c r="E12">
        <v>9</v>
      </c>
      <c r="F12">
        <v>11</v>
      </c>
      <c r="G12" s="3">
        <v>0</v>
      </c>
      <c r="H12" s="3">
        <v>0</v>
      </c>
      <c r="I12" s="3">
        <v>0</v>
      </c>
    </row>
    <row r="13" spans="1:9" x14ac:dyDescent="0.3">
      <c r="A13" t="s">
        <v>20</v>
      </c>
      <c r="B13" t="s">
        <v>40</v>
      </c>
      <c r="C13" t="s">
        <v>60</v>
      </c>
      <c r="D13">
        <v>1</v>
      </c>
      <c r="E13">
        <v>9</v>
      </c>
      <c r="F13">
        <v>5</v>
      </c>
      <c r="G13" s="3">
        <v>0.1</v>
      </c>
      <c r="H13" s="3">
        <v>0.16666666666666671</v>
      </c>
      <c r="I13" s="3">
        <v>0.125</v>
      </c>
    </row>
    <row r="14" spans="1:9" x14ac:dyDescent="0.3">
      <c r="A14" t="s">
        <v>21</v>
      </c>
      <c r="B14" t="s">
        <v>41</v>
      </c>
      <c r="C14" t="s">
        <v>61</v>
      </c>
      <c r="D14">
        <v>1</v>
      </c>
      <c r="E14">
        <v>18</v>
      </c>
      <c r="F14">
        <v>15</v>
      </c>
      <c r="G14" s="3">
        <v>5.2631578947368418E-2</v>
      </c>
      <c r="H14" s="3">
        <v>6.25E-2</v>
      </c>
      <c r="I14" s="3">
        <v>5.7142857142857141E-2</v>
      </c>
    </row>
    <row r="15" spans="1:9" x14ac:dyDescent="0.3">
      <c r="A15" t="s">
        <v>22</v>
      </c>
      <c r="B15" t="s">
        <v>42</v>
      </c>
      <c r="C15" t="s">
        <v>62</v>
      </c>
      <c r="D15">
        <v>1</v>
      </c>
      <c r="E15">
        <v>13</v>
      </c>
      <c r="F15">
        <v>10</v>
      </c>
      <c r="G15" s="3">
        <v>7.1428571428571425E-2</v>
      </c>
      <c r="H15" s="3">
        <v>9.0909090909090912E-2</v>
      </c>
      <c r="I15" s="3">
        <v>0.08</v>
      </c>
    </row>
    <row r="16" spans="1:9" x14ac:dyDescent="0.3">
      <c r="A16" t="s">
        <v>23</v>
      </c>
      <c r="B16" t="s">
        <v>43</v>
      </c>
      <c r="C16" t="s">
        <v>63</v>
      </c>
      <c r="D16">
        <v>0</v>
      </c>
      <c r="E16">
        <v>10</v>
      </c>
      <c r="F16">
        <v>6</v>
      </c>
      <c r="G16" s="3">
        <v>0</v>
      </c>
      <c r="H16" s="3">
        <v>0</v>
      </c>
      <c r="I16" s="3">
        <v>0</v>
      </c>
    </row>
    <row r="17" spans="1:9" x14ac:dyDescent="0.3">
      <c r="A17" t="s">
        <v>24</v>
      </c>
      <c r="B17" t="s">
        <v>44</v>
      </c>
      <c r="C17" t="s">
        <v>64</v>
      </c>
      <c r="D17">
        <v>1</v>
      </c>
      <c r="E17">
        <v>12</v>
      </c>
      <c r="F17">
        <v>10</v>
      </c>
      <c r="G17" s="3">
        <v>7.6923076923076927E-2</v>
      </c>
      <c r="H17" s="3">
        <v>9.0909090909090912E-2</v>
      </c>
      <c r="I17" s="3">
        <v>8.3333333333333343E-2</v>
      </c>
    </row>
    <row r="18" spans="1:9" x14ac:dyDescent="0.3">
      <c r="A18" t="s">
        <v>25</v>
      </c>
      <c r="B18" t="s">
        <v>45</v>
      </c>
      <c r="C18" t="s">
        <v>65</v>
      </c>
      <c r="D18">
        <v>0</v>
      </c>
      <c r="E18">
        <v>16</v>
      </c>
      <c r="F18">
        <v>9</v>
      </c>
      <c r="G18" s="3">
        <v>0</v>
      </c>
      <c r="H18" s="3">
        <v>0</v>
      </c>
      <c r="I18" s="3">
        <v>0</v>
      </c>
    </row>
    <row r="19" spans="1:9" x14ac:dyDescent="0.3">
      <c r="A19" t="s">
        <v>26</v>
      </c>
      <c r="B19" t="s">
        <v>46</v>
      </c>
      <c r="C19" t="s">
        <v>66</v>
      </c>
      <c r="D19">
        <v>3</v>
      </c>
      <c r="E19">
        <v>16</v>
      </c>
      <c r="F19">
        <v>11</v>
      </c>
      <c r="G19" s="3">
        <v>0.15789473684210531</v>
      </c>
      <c r="H19" s="3">
        <v>0.2142857142857143</v>
      </c>
      <c r="I19" s="3">
        <v>0.1818181818181818</v>
      </c>
    </row>
    <row r="20" spans="1:9" x14ac:dyDescent="0.3">
      <c r="A20" t="s">
        <v>27</v>
      </c>
      <c r="B20" t="s">
        <v>47</v>
      </c>
      <c r="C20" t="s">
        <v>67</v>
      </c>
      <c r="D20">
        <v>3</v>
      </c>
      <c r="E20">
        <v>8</v>
      </c>
      <c r="F20">
        <v>7</v>
      </c>
      <c r="G20" s="3">
        <v>0.27272727272727271</v>
      </c>
      <c r="H20" s="3">
        <v>0.3</v>
      </c>
      <c r="I20" s="3">
        <v>0.28571428571428559</v>
      </c>
    </row>
    <row r="21" spans="1:9" x14ac:dyDescent="0.3">
      <c r="A21" t="s">
        <v>28</v>
      </c>
      <c r="B21" t="s">
        <v>48</v>
      </c>
      <c r="C21" t="s">
        <v>68</v>
      </c>
      <c r="D21">
        <v>1</v>
      </c>
      <c r="E21">
        <v>33</v>
      </c>
      <c r="F21">
        <v>17</v>
      </c>
      <c r="G21" s="3">
        <v>2.9411764705882349E-2</v>
      </c>
      <c r="H21" s="3">
        <v>5.5555555555555552E-2</v>
      </c>
      <c r="I21" s="3">
        <v>3.8461538461538457E-2</v>
      </c>
    </row>
    <row r="22" spans="1:9" x14ac:dyDescent="0.3">
      <c r="D22" s="2">
        <f>SUM(D2:D21)</f>
        <v>34</v>
      </c>
      <c r="E22" s="2">
        <f t="shared" ref="E22:F22" si="0">SUM(E2:E21)</f>
        <v>329</v>
      </c>
      <c r="F22" s="2">
        <f t="shared" si="0"/>
        <v>236</v>
      </c>
      <c r="G22" s="4">
        <f>AVERAGE(G2:G21)</f>
        <v>8.9783163817606523E-2</v>
      </c>
      <c r="H22" s="4">
        <f t="shared" ref="H22:I22" si="1">AVERAGE(H2:H21)</f>
        <v>0.1186675630777293</v>
      </c>
      <c r="I22" s="4">
        <f t="shared" si="1"/>
        <v>0.10080742499072597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2"/>
  <sheetViews>
    <sheetView workbookViewId="0">
      <selection activeCell="D22" sqref="D22:I22"/>
    </sheetView>
  </sheetViews>
  <sheetFormatPr defaultRowHeight="14.4" x14ac:dyDescent="0.3"/>
  <sheetData>
    <row r="1" spans="1:9" x14ac:dyDescent="0.3">
      <c r="A1" s="1" t="s">
        <v>69</v>
      </c>
      <c r="B1" s="1" t="s">
        <v>1</v>
      </c>
      <c r="C1" s="1" t="s">
        <v>2</v>
      </c>
      <c r="D1" s="1" t="s">
        <v>3</v>
      </c>
      <c r="E1" s="1" t="s">
        <v>4</v>
      </c>
      <c r="F1" s="1" t="s">
        <v>5</v>
      </c>
      <c r="G1" s="1" t="s">
        <v>6</v>
      </c>
      <c r="H1" s="1" t="s">
        <v>7</v>
      </c>
      <c r="I1" s="1" t="s">
        <v>8</v>
      </c>
    </row>
    <row r="2" spans="1:9" x14ac:dyDescent="0.3">
      <c r="A2" t="s">
        <v>70</v>
      </c>
      <c r="B2" t="s">
        <v>90</v>
      </c>
      <c r="C2" t="s">
        <v>110</v>
      </c>
      <c r="D2">
        <v>3</v>
      </c>
      <c r="E2">
        <v>16</v>
      </c>
      <c r="F2">
        <v>8</v>
      </c>
      <c r="G2" s="3">
        <v>0.15789473684210531</v>
      </c>
      <c r="H2" s="3">
        <v>0.27272727272727271</v>
      </c>
      <c r="I2" s="3">
        <v>0.2</v>
      </c>
    </row>
    <row r="3" spans="1:9" x14ac:dyDescent="0.3">
      <c r="A3" t="s">
        <v>71</v>
      </c>
      <c r="B3" t="s">
        <v>91</v>
      </c>
      <c r="C3" t="s">
        <v>111</v>
      </c>
      <c r="D3">
        <v>6</v>
      </c>
      <c r="E3">
        <v>16</v>
      </c>
      <c r="F3">
        <v>3</v>
      </c>
      <c r="G3" s="3">
        <v>0.27272727272727271</v>
      </c>
      <c r="H3" s="3">
        <v>0.66666666666666663</v>
      </c>
      <c r="I3" s="3">
        <v>0.38709677419354838</v>
      </c>
    </row>
    <row r="4" spans="1:9" x14ac:dyDescent="0.3">
      <c r="A4" t="s">
        <v>72</v>
      </c>
      <c r="B4" t="s">
        <v>92</v>
      </c>
      <c r="C4" t="s">
        <v>112</v>
      </c>
      <c r="D4">
        <v>2</v>
      </c>
      <c r="E4">
        <v>22</v>
      </c>
      <c r="F4">
        <v>6</v>
      </c>
      <c r="G4" s="3">
        <v>8.3333333333333329E-2</v>
      </c>
      <c r="H4" s="3">
        <v>0.25</v>
      </c>
      <c r="I4" s="3">
        <v>0.125</v>
      </c>
    </row>
    <row r="5" spans="1:9" x14ac:dyDescent="0.3">
      <c r="A5" t="s">
        <v>73</v>
      </c>
      <c r="B5" t="s">
        <v>93</v>
      </c>
      <c r="C5" t="s">
        <v>113</v>
      </c>
      <c r="D5">
        <v>3</v>
      </c>
      <c r="E5">
        <v>25</v>
      </c>
      <c r="F5">
        <v>12</v>
      </c>
      <c r="G5" s="3">
        <v>0.1071428571428571</v>
      </c>
      <c r="H5" s="3">
        <v>0.2</v>
      </c>
      <c r="I5" s="3">
        <v>0.1395348837209302</v>
      </c>
    </row>
    <row r="6" spans="1:9" x14ac:dyDescent="0.3">
      <c r="A6" t="s">
        <v>74</v>
      </c>
      <c r="B6" t="s">
        <v>94</v>
      </c>
      <c r="C6" t="s">
        <v>114</v>
      </c>
      <c r="D6">
        <v>5</v>
      </c>
      <c r="E6">
        <v>24</v>
      </c>
      <c r="F6">
        <v>6</v>
      </c>
      <c r="G6" s="3">
        <v>0.17241379310344829</v>
      </c>
      <c r="H6" s="3">
        <v>0.45454545454545447</v>
      </c>
      <c r="I6" s="3">
        <v>0.25000000000000011</v>
      </c>
    </row>
    <row r="7" spans="1:9" x14ac:dyDescent="0.3">
      <c r="A7" t="s">
        <v>75</v>
      </c>
      <c r="B7" t="s">
        <v>95</v>
      </c>
      <c r="C7" t="s">
        <v>115</v>
      </c>
      <c r="D7">
        <v>2</v>
      </c>
      <c r="E7">
        <v>20</v>
      </c>
      <c r="F7">
        <v>17</v>
      </c>
      <c r="G7" s="3">
        <v>9.0909090909090912E-2</v>
      </c>
      <c r="H7" s="3">
        <v>0.10526315789473679</v>
      </c>
      <c r="I7" s="3">
        <v>9.7560975609756101E-2</v>
      </c>
    </row>
    <row r="8" spans="1:9" x14ac:dyDescent="0.3">
      <c r="A8" t="s">
        <v>76</v>
      </c>
      <c r="B8" t="s">
        <v>96</v>
      </c>
      <c r="C8" t="s">
        <v>116</v>
      </c>
      <c r="D8">
        <v>3</v>
      </c>
      <c r="E8">
        <v>25</v>
      </c>
      <c r="F8">
        <v>5</v>
      </c>
      <c r="G8" s="3">
        <v>0.1071428571428571</v>
      </c>
      <c r="H8" s="3">
        <v>0.375</v>
      </c>
      <c r="I8" s="3">
        <v>0.16666666666666671</v>
      </c>
    </row>
    <row r="9" spans="1:9" x14ac:dyDescent="0.3">
      <c r="A9" t="s">
        <v>77</v>
      </c>
      <c r="B9" t="s">
        <v>97</v>
      </c>
      <c r="C9" t="s">
        <v>117</v>
      </c>
      <c r="D9">
        <v>2</v>
      </c>
      <c r="E9">
        <v>22</v>
      </c>
      <c r="F9">
        <v>8</v>
      </c>
      <c r="G9" s="3">
        <v>8.3333333333333329E-2</v>
      </c>
      <c r="H9" s="3">
        <v>0.2</v>
      </c>
      <c r="I9" s="3">
        <v>0.1176470588235294</v>
      </c>
    </row>
    <row r="10" spans="1:9" x14ac:dyDescent="0.3">
      <c r="A10" t="s">
        <v>78</v>
      </c>
      <c r="B10" t="s">
        <v>98</v>
      </c>
      <c r="C10" t="s">
        <v>118</v>
      </c>
      <c r="D10">
        <v>2</v>
      </c>
      <c r="E10">
        <v>21</v>
      </c>
      <c r="F10">
        <v>11</v>
      </c>
      <c r="G10" s="3">
        <v>8.6956521739130432E-2</v>
      </c>
      <c r="H10" s="3">
        <v>0.15384615384615391</v>
      </c>
      <c r="I10" s="3">
        <v>0.1111111111111111</v>
      </c>
    </row>
    <row r="11" spans="1:9" x14ac:dyDescent="0.3">
      <c r="A11" t="s">
        <v>79</v>
      </c>
      <c r="B11" t="s">
        <v>99</v>
      </c>
      <c r="C11" t="s">
        <v>119</v>
      </c>
      <c r="D11">
        <v>1</v>
      </c>
      <c r="E11">
        <v>14</v>
      </c>
      <c r="F11">
        <v>8</v>
      </c>
      <c r="G11" s="3">
        <v>6.6666666666666666E-2</v>
      </c>
      <c r="H11" s="3">
        <v>0.1111111111111111</v>
      </c>
      <c r="I11" s="3">
        <v>8.3333333333333343E-2</v>
      </c>
    </row>
    <row r="12" spans="1:9" x14ac:dyDescent="0.3">
      <c r="A12" t="s">
        <v>80</v>
      </c>
      <c r="B12" t="s">
        <v>100</v>
      </c>
      <c r="C12" t="s">
        <v>120</v>
      </c>
      <c r="D12">
        <v>5</v>
      </c>
      <c r="E12">
        <v>12</v>
      </c>
      <c r="F12">
        <v>9</v>
      </c>
      <c r="G12" s="3">
        <v>0.29411764705882348</v>
      </c>
      <c r="H12" s="3">
        <v>0.35714285714285721</v>
      </c>
      <c r="I12" s="3">
        <v>0.32258064516129031</v>
      </c>
    </row>
    <row r="13" spans="1:9" x14ac:dyDescent="0.3">
      <c r="A13" t="s">
        <v>81</v>
      </c>
      <c r="B13" t="s">
        <v>101</v>
      </c>
      <c r="C13" t="s">
        <v>121</v>
      </c>
      <c r="D13">
        <v>4</v>
      </c>
      <c r="E13">
        <v>20</v>
      </c>
      <c r="F13">
        <v>7</v>
      </c>
      <c r="G13" s="3">
        <v>0.16666666666666671</v>
      </c>
      <c r="H13" s="3">
        <v>0.36363636363636359</v>
      </c>
      <c r="I13" s="3">
        <v>0.22857142857142859</v>
      </c>
    </row>
    <row r="14" spans="1:9" x14ac:dyDescent="0.3">
      <c r="A14" t="s">
        <v>82</v>
      </c>
      <c r="B14" t="s">
        <v>102</v>
      </c>
      <c r="C14" t="s">
        <v>122</v>
      </c>
      <c r="D14">
        <v>2</v>
      </c>
      <c r="E14">
        <v>18</v>
      </c>
      <c r="F14">
        <v>15</v>
      </c>
      <c r="G14" s="3">
        <v>0.1</v>
      </c>
      <c r="H14" s="3">
        <v>0.1176470588235294</v>
      </c>
      <c r="I14" s="3">
        <v>0.1081081081081081</v>
      </c>
    </row>
    <row r="15" spans="1:9" x14ac:dyDescent="0.3">
      <c r="A15" t="s">
        <v>83</v>
      </c>
      <c r="B15" t="s">
        <v>103</v>
      </c>
      <c r="C15" t="s">
        <v>123</v>
      </c>
      <c r="D15">
        <v>6</v>
      </c>
      <c r="E15">
        <v>20</v>
      </c>
      <c r="F15">
        <v>8</v>
      </c>
      <c r="G15" s="3">
        <v>0.23076923076923081</v>
      </c>
      <c r="H15" s="3">
        <v>0.42857142857142849</v>
      </c>
      <c r="I15" s="3">
        <v>0.3</v>
      </c>
    </row>
    <row r="16" spans="1:9" x14ac:dyDescent="0.3">
      <c r="A16" t="s">
        <v>84</v>
      </c>
      <c r="B16" t="s">
        <v>104</v>
      </c>
      <c r="C16" t="s">
        <v>124</v>
      </c>
      <c r="D16">
        <v>1</v>
      </c>
      <c r="E16">
        <v>24</v>
      </c>
      <c r="F16">
        <v>12</v>
      </c>
      <c r="G16" s="3">
        <v>0.04</v>
      </c>
      <c r="H16" s="3">
        <v>7.6923076923076927E-2</v>
      </c>
      <c r="I16" s="3">
        <v>5.2631578947368432E-2</v>
      </c>
    </row>
    <row r="17" spans="1:9" x14ac:dyDescent="0.3">
      <c r="A17" t="s">
        <v>85</v>
      </c>
      <c r="B17" t="s">
        <v>105</v>
      </c>
      <c r="C17" t="s">
        <v>125</v>
      </c>
      <c r="D17">
        <v>4</v>
      </c>
      <c r="E17">
        <v>21</v>
      </c>
      <c r="F17">
        <v>9</v>
      </c>
      <c r="G17" s="3">
        <v>0.16</v>
      </c>
      <c r="H17" s="3">
        <v>0.30769230769230771</v>
      </c>
      <c r="I17" s="3">
        <v>0.2105263157894737</v>
      </c>
    </row>
    <row r="18" spans="1:9" x14ac:dyDescent="0.3">
      <c r="A18" t="s">
        <v>86</v>
      </c>
      <c r="B18" t="s">
        <v>106</v>
      </c>
      <c r="C18" t="s">
        <v>126</v>
      </c>
      <c r="D18">
        <v>2</v>
      </c>
      <c r="E18">
        <v>15</v>
      </c>
      <c r="F18">
        <v>14</v>
      </c>
      <c r="G18" s="3">
        <v>0.1176470588235294</v>
      </c>
      <c r="H18" s="3">
        <v>0.125</v>
      </c>
      <c r="I18" s="3">
        <v>0.1212121212121212</v>
      </c>
    </row>
    <row r="19" spans="1:9" x14ac:dyDescent="0.3">
      <c r="A19" t="s">
        <v>87</v>
      </c>
      <c r="B19" t="s">
        <v>107</v>
      </c>
      <c r="C19" t="s">
        <v>127</v>
      </c>
      <c r="D19">
        <v>3</v>
      </c>
      <c r="E19">
        <v>19</v>
      </c>
      <c r="F19">
        <v>5</v>
      </c>
      <c r="G19" s="3">
        <v>0.13636363636363641</v>
      </c>
      <c r="H19" s="3">
        <v>0.375</v>
      </c>
      <c r="I19" s="3">
        <v>0.2</v>
      </c>
    </row>
    <row r="20" spans="1:9" x14ac:dyDescent="0.3">
      <c r="A20" t="s">
        <v>88</v>
      </c>
      <c r="B20" t="s">
        <v>108</v>
      </c>
      <c r="C20" t="s">
        <v>128</v>
      </c>
      <c r="D20">
        <v>1</v>
      </c>
      <c r="E20">
        <v>22</v>
      </c>
      <c r="F20">
        <v>10</v>
      </c>
      <c r="G20" s="3">
        <v>4.3478260869565223E-2</v>
      </c>
      <c r="H20" s="3">
        <v>9.0909090909090912E-2</v>
      </c>
      <c r="I20" s="3">
        <v>5.8823529411764698E-2</v>
      </c>
    </row>
    <row r="21" spans="1:9" x14ac:dyDescent="0.3">
      <c r="A21" t="s">
        <v>89</v>
      </c>
      <c r="B21" t="s">
        <v>109</v>
      </c>
      <c r="C21" t="s">
        <v>129</v>
      </c>
      <c r="D21">
        <v>3</v>
      </c>
      <c r="E21">
        <v>18</v>
      </c>
      <c r="F21">
        <v>4</v>
      </c>
      <c r="G21" s="3">
        <v>0.14285714285714279</v>
      </c>
      <c r="H21" s="3">
        <v>0.42857142857142849</v>
      </c>
      <c r="I21" s="3">
        <v>0.2142857142857143</v>
      </c>
    </row>
    <row r="22" spans="1:9" x14ac:dyDescent="0.3">
      <c r="D22" s="2">
        <f>SUM(D2:D21)</f>
        <v>60</v>
      </c>
      <c r="E22" s="2">
        <f t="shared" ref="E22:F22" si="0">SUM(E2:E21)</f>
        <v>394</v>
      </c>
      <c r="F22" s="2">
        <f t="shared" si="0"/>
        <v>177</v>
      </c>
      <c r="G22" s="4">
        <f>AVERAGE(G2:G21)</f>
        <v>0.13302100531743449</v>
      </c>
      <c r="H22" s="4">
        <f t="shared" ref="H22:I22" si="1">AVERAGE(H2:H21)</f>
        <v>0.27301267145307395</v>
      </c>
      <c r="I22" s="4">
        <f t="shared" si="1"/>
        <v>0.17473451224730724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Hasil CLO</vt:lpstr>
      <vt:lpstr>Hasil SFIA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asus</cp:lastModifiedBy>
  <dcterms:created xsi:type="dcterms:W3CDTF">2026-03-13T07:19:02Z</dcterms:created>
  <dcterms:modified xsi:type="dcterms:W3CDTF">2026-03-13T07:28:04Z</dcterms:modified>
</cp:coreProperties>
</file>