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defaultThemeVersion="124226"/>
  <mc:AlternateContent xmlns:mc="http://schemas.openxmlformats.org/markup-compatibility/2006">
    <mc:Choice Requires="x15">
      <x15ac:absPath xmlns:x15ac="http://schemas.microsoft.com/office/spreadsheetml/2010/11/ac" url="C:\Users\asus\Downloads\FIX\Cohens Kappa\Kappa Rill\3. Evaluasi Skill\SkillNER\"/>
    </mc:Choice>
  </mc:AlternateContent>
  <xr:revisionPtr revIDLastSave="0" documentId="13_ncr:1_{066BBFFD-DD6B-4407-BB60-95B02CE45B9D}" xr6:coauthVersionLast="45" xr6:coauthVersionMax="45" xr10:uidLastSave="{00000000-0000-0000-0000-000000000000}"/>
  <bookViews>
    <workbookView xWindow="3552" yWindow="3276" windowWidth="7776" windowHeight="8964" xr2:uid="{00000000-000D-0000-FFFF-FFFF00000000}"/>
  </bookViews>
  <sheets>
    <sheet name="Hasil CLO" sheetId="1" r:id="rId1"/>
    <sheet name="Hasil SFIA" sheetId="2" r:id="rId2"/>
  </sheets>
  <calcPr calcId="191029"/>
</workbook>
</file>

<file path=xl/calcChain.xml><?xml version="1.0" encoding="utf-8"?>
<calcChain xmlns="http://schemas.openxmlformats.org/spreadsheetml/2006/main">
  <c r="I22" i="2" l="1"/>
  <c r="H22" i="2"/>
  <c r="G22" i="2"/>
  <c r="F22" i="2"/>
  <c r="E22" i="2"/>
  <c r="D22" i="2"/>
  <c r="E22" i="1"/>
  <c r="F22" i="1"/>
  <c r="D22" i="1"/>
  <c r="H22" i="1"/>
  <c r="I22" i="1"/>
  <c r="G22" i="1"/>
</calcChain>
</file>

<file path=xl/sharedStrings.xml><?xml version="1.0" encoding="utf-8"?>
<sst xmlns="http://schemas.openxmlformats.org/spreadsheetml/2006/main" count="138" uniqueCount="126">
  <si>
    <t>Nama Mata Kuliah</t>
  </si>
  <si>
    <t>Ground Truth</t>
  </si>
  <si>
    <t>System Skills</t>
  </si>
  <si>
    <t>TP</t>
  </si>
  <si>
    <t>FP</t>
  </si>
  <si>
    <t>FN</t>
  </si>
  <si>
    <t>Precision</t>
  </si>
  <si>
    <t>Recall</t>
  </si>
  <si>
    <t>F1-Score</t>
  </si>
  <si>
    <t>Introduction to Information Systems</t>
  </si>
  <si>
    <t>Algorithms and Programming</t>
  </si>
  <si>
    <t>Algorithms and Programming (Practicum)</t>
  </si>
  <si>
    <t>Descriptive Statistics</t>
  </si>
  <si>
    <t>Business Function and Process</t>
  </si>
  <si>
    <t>Database</t>
  </si>
  <si>
    <t>Database (Practicum)</t>
  </si>
  <si>
    <t>Object Oriented Programming</t>
  </si>
  <si>
    <t>Operating System</t>
  </si>
  <si>
    <t>Analysis and Design of Information System</t>
  </si>
  <si>
    <t>Machine Learning</t>
  </si>
  <si>
    <t>Machine Learning (Practicum)</t>
  </si>
  <si>
    <t>Computer Network</t>
  </si>
  <si>
    <t>Web Programming</t>
  </si>
  <si>
    <t>Mobile Programming</t>
  </si>
  <si>
    <t>Interaction Design</t>
  </si>
  <si>
    <t>Interaction Design (Practicum)</t>
  </si>
  <si>
    <t>Software Development</t>
  </si>
  <si>
    <t>Data Visualization and Analysis</t>
  </si>
  <si>
    <t>Enterprise Architecture Planning</t>
  </si>
  <si>
    <t>business intelligence, data sources, decision making, electronic, electronic business system, electronic business systems, electronic trading systems, hardware components, information system architecture, information systems, information technology, infrastructure, infrastructure management, it solutions, management, networks, security and ethical, software components, system architecture, system implementation, systems business, telecommunications</t>
  </si>
  <si>
    <t>algorithms, conditional if, flowcharts, for loops looping, java, programming, programming languages, python, recursive function, variable and operators, while function</t>
  </si>
  <si>
    <t>algorithms, arithmetic operators, flowcharts, functions, java, logical operators, programming, programming language, programming languages, python, recursive, variable, while loop</t>
  </si>
  <si>
    <t>calculating, cluster analysis, component analysis, correspondence analysis, data center, data description, data set, data sets, data visualization, identifying, interpreting, measuring, normalization, principal component analysis, probability, sampling, summarize</t>
  </si>
  <si>
    <t>business process, business process analysis, business process model, business processes, finance, government, human resource, identify, manufacturing, marketing, process analysis, process design, process model, production marketing, reengineering, resource marketing</t>
  </si>
  <si>
    <t>calculus, data definition language, data manipulation, data manipulation language, data model, data modelling, data type, database, database design, database development, database management system, database model, dbms, design databases, entity relationship, indexing, management system, normalization, relational database, relational model, sql, storage, volatile non volatile</t>
  </si>
  <si>
    <t>calculus, data definition language, data manipulation, data manipulation language, data model, data modelling, data type, database, database model, diagram, entity relationship, normalization, recursive, relational database, sql, volatile non volatile</t>
  </si>
  <si>
    <t>abstract class, constructor, destructor, exception handling, inheritance, operator overloading, polymorphism, programming, type conversion</t>
  </si>
  <si>
    <t>basic structure, computer system, file configuration, file system, functions process, java, java virtual machine, linux, management, memory management, operating system, process management, system development, virtual machine, windows</t>
  </si>
  <si>
    <t>analysis, data design, data flow diagram, design, design design, design information, design interface, information system, information systems, interface design, modeling language, object oriented, requirement specification, system development, system requirement, unified modeling language</t>
  </si>
  <si>
    <t>algorithms, analytics, artificial neural network, bayes classifier, decision trees, k mean cluster, k nearest neighbors, machine learn, machine learning, recommender system, support vector machine</t>
  </si>
  <si>
    <t>algorithms, data preprocessing, machine algorithms, machine learning, tools, transformation</t>
  </si>
  <si>
    <t>application layer, computer network, data link layer, dns, information technology, lan, local networks, network architecture, network computer, network layer, network service, routing protocols, subnetting, transport layer, wan, wider areas</t>
  </si>
  <si>
    <t>backend, css, frontend, html, information technology, javascript, oop, php framework, programming, programming concept, web programming</t>
  </si>
  <si>
    <t>darts, database access, flutter, mobile applications, programming, widgets</t>
  </si>
  <si>
    <t>collaborative tools, construction, data analysis, data gathering, design interaction, emotional interaction, interaction design, interface design, need analysis, presentation, prototyping</t>
  </si>
  <si>
    <t>collaborative tools, color, design interaction, design thinking, interaction, interaction design, interface design, usability, wireframes</t>
  </si>
  <si>
    <t>case, development software, documents software, information system, installation, integrated, practicum, project based, requirement management, software design, software development, software project, software testing, system development</t>
  </si>
  <si>
    <t>analysis, analysis cluster, analyze data, data analysis, data data, data data data, data exploration, data visualization, visualization, visualize</t>
  </si>
  <si>
    <t>application architecture, architecture framework, building blocks, business architecture, business strategy, data architecture, data architectures, diagrams, enterprise architecture, enterprise architecture framework, information system, modeling, modelling, planning, required business, requirements requirements, risk analysis, technology architecture</t>
  </si>
  <si>
    <t>business intelligence, business system, data sources, decision making, electronic, electronic trading, global management, information system, information system architecture, information technology, infrastructure, infrastructure management, system architecture, system implementation, systems business, telecommunications, usability</t>
  </si>
  <si>
    <t>algorithms, flowcharts, java, loops looping, operators conditional, programming, programming languages, python, recursive</t>
  </si>
  <si>
    <t>algorithms, arithmetic, flowcharts, java, logical operator, operators logical, programming language, programming languages, python, recursive, subroutines</t>
  </si>
  <si>
    <t>b, c, calculating, cluster analysis, component analysis, correspondence analysis, data center, data description, data set, data sets, data visualization, discrete, graphs, outliers, present, principal component analysis, probability, probability distribution, random variable, sample data, sampling</t>
  </si>
  <si>
    <t>business process, business process model, finance, government, human resource, process analysis, process design, process model, production marketing, reengineering, resource marketing</t>
  </si>
  <si>
    <t>b, basic principles, c, calculus, case, conceptual, data definition language, data manipulation, data manipulation language, data model, data modelling, data type, database design, database development, database management system, database model, design databases, diagram, e, entity relationship, indexing, integrity, levels, management system, physical, recursive, relational algebra, relational database, relational model, sql, storage, study designing, volatile non volatile</t>
  </si>
  <si>
    <t>calculus, case, conceptual, data definition language, data manipulation, data manipulation language, data model, data modelling, data type, database model, diagram, entity relationship, physical, recursive, relational algebra, relational database, sql, volatile non volatile</t>
  </si>
  <si>
    <t>abstract class, destructor, exception handling, operator overloading, polymorphism, programming, type conversion</t>
  </si>
  <si>
    <t>basic structure, computer system, file configuration, file system, functions process, java virtual machine, linux, management, memory management, operating system, process management, scheduling, system development, virtual machine, virtual memory</t>
  </si>
  <si>
    <t>data flow diagram, design design, design information, design interface, information system, interface design, modeling language, object oriented, requirement specification, system development, system requirement</t>
  </si>
  <si>
    <t>algorithms, analytics, artificial neural network, bayes classifier, decision trees, genetic algorithm, k mean cluster, k nearest neighbors, machine algorithms, machine learn, machine learning, recommender system, support vector machine</t>
  </si>
  <si>
    <t>application layer, computer network, data link layer, designing computer, dns, information technology, lan, link layer, local networks, network architecture, network computer, network layer, network service, routing protocols, subnetting, transport layer, wider areas</t>
  </si>
  <si>
    <t>backend, css, html, information technology, javascript, oop, php, php framework, programming, programming concept, web programming</t>
  </si>
  <si>
    <t>database access, mobile applications, programming, widgets</t>
  </si>
  <si>
    <t>collaborative tools, construction, data analysis, design interaction, interaction, interaction design, interface design, need analysis, presentation, prototyping, social</t>
  </si>
  <si>
    <t>collaborative tools, color, color color, design interaction, design thinking, images, interaction, interaction design, interface design, usability, wireframes</t>
  </si>
  <si>
    <t>analysis, analysis cluster, data analysis, data data, data data data, data visualization, visualization, visualize</t>
  </si>
  <si>
    <t>application architecture, architectural modeling, architecture framework, building blocks, business architecture, business strategy, data architecture, data architectures, diagrams, enterprise architecture, enterprise architecture framework, finalization, information system, modeling, planning, required business, requirements requirements, risk analysis, target, targets, technology architecture</t>
  </si>
  <si>
    <t>Skill - Level</t>
  </si>
  <si>
    <t>Information security - Level 7</t>
  </si>
  <si>
    <t>Risk management - Level 7</t>
  </si>
  <si>
    <t>Artificial intelligence (AI) and data ethics - Level 6</t>
  </si>
  <si>
    <t>Audit - Level 5</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</si>
  <si>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</si>
  <si>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</si>
  <si>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</si>
  <si>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</si>
  <si>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</si>
  <si>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</si>
  <si>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</si>
  <si>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</si>
  <si>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</si>
  <si>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</si>
  <si>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</si>
  <si>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</si>
  <si>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</si>
  <si>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</si>
  <si>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</si>
  <si>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</si>
  <si>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business strategy, enterprise information, execute, information security, operational plans, resources, security control, security controls, security management, security management strategies, security strategy</t>
  </si>
  <si>
    <t>communicating, delegate authority, execution, governance, managing risk, planning, resources, risk appetite, risk management</t>
  </si>
  <si>
    <t>allocates resources, artificial intelligence (ai) and data ethics, decision processes, governance, high level, industry, promoting, resources</t>
  </si>
  <si>
    <t>activities, audit, collaborates, control, cross functional, integrate, investigation, management, mechanisms, organisational policy, plans, presents, professionals, risk based, supply chain</t>
  </si>
  <si>
    <t>audits, corrective action, international standard, maintains compliance, management framework, plans, plans systematic, quality improvement, quality management, reduce errors, strategy business</t>
  </si>
  <si>
    <t>budgets, business priority, change control, collaboration, communicates, governance, leadership, management, manages change, monitors performance, performance metric, proactively, product quality, project management, project quality, risks, scale, timelines, tools manages</t>
  </si>
  <si>
    <t>backlog, customer user, developing content, managing, product lifecycle, product management, product requirement, user research</t>
  </si>
  <si>
    <t>activities, adoption, designing systems, development programme, develops system, organisational policy, system architecture, system design, system development, systems design</t>
  </si>
  <si>
    <t>adapts software, corrective action, decision making, design method, designing software, impact analysis, modules, prototypes, simulations, software applications, software design, systems management, tools</t>
  </si>
  <si>
    <t>access, adoption, business requirement, business requirements, communication networks, network design, organisational policy, reliability, scalability</t>
  </si>
  <si>
    <t>activities, developing software, iterations, monitors applications, organisational policy, plans, programming/software development, software, software construction, software development, software security, stage, stages, tools</t>
  </si>
  <si>
    <t>control, controls, data governance, data management, governance, integrity, maintains, management process, plans, sources, transformation</t>
  </si>
  <si>
    <t>accessing, analytics, architectures software, business intelligence, data systems, data warehouse, database design, database management system, design policies, expert guidance, maintaining, management system, mechanisms, services, services provides, transactional data, warehouse architectures</t>
  </si>
  <si>
    <t>adoption, aligns business, analytics, business strategy, communicating, cross functional, data analytics, data science, decision making, embedded, governance, leadership, organisational performance, transformation</t>
  </si>
  <si>
    <t>adoption, create value, data mining, data science, data sets, decision, decision making, innovation, mathematics statistics, organisational policy, predict, predictive modelling, tools</t>
  </si>
  <si>
    <t>adaptability, collaborates, developing systems, improving performance, infrastructure, learn development, machine learn, machine learning, machine learning projects, mlops, operations, pipelines, tools</t>
  </si>
  <si>
    <t>continuous integration, data engineering, data management, data management plan, data pipeline, functional requirement, functional requirements, monitoring, organisational policy, processing systems, real time, reliable, scalability, scalable, securing, standards architectures</t>
  </si>
  <si>
    <t>automates, data sets, data visualisation, data visuals, decision making, decision processes, experimentation, visualisation techniques</t>
  </si>
  <si>
    <t>adopted, collaboration, collaborations, coordinating, cross functional teams, decisions, high level, incident management, leadership, management process, swift</t>
  </si>
  <si>
    <t>coordinates, investigate, management process, managing, problem management, reporting systems, resolve problems</t>
  </si>
  <si>
    <t>business strategy, enterprise information, execute, information security, operating, operational plans, resources, security control, security management, security strategy</t>
  </si>
  <si>
    <t>activities, communicates, communicating, delegate authority, execution, governance, managing risk, planning, resources, risk appetite, risk management</t>
  </si>
  <si>
    <t>allocates resources, artificial intelligence (ai) and data ethics, decision processes, governance, high level, industry, resources</t>
  </si>
  <si>
    <t>activities, audit, audits, collaborates, control, controls, cross functional, integrate, investigation, management, mechanisms, organisational policy, plans, presents, professionals, risk based, supply chain</t>
  </si>
  <si>
    <t>audits, corrective action, international standard, maintains, management framework, operating, plans systematic, quality improvement, quality management, strategy business</t>
  </si>
  <si>
    <t>adopting, budgets, business priority, change control, collaboration, communicates, corrective actions, governance, leadership, management, manages change, monitors performance, performance metric, proactively, product quality, project management, scale, schedule, timelines, tools manages</t>
  </si>
  <si>
    <t>backlog, customer user, developing content, manages, managing, product lifecycle, product management, product requirement, targets, user research</t>
  </si>
  <si>
    <t>adapts software, corrective action, decision making, design method, designing software, manages associated, modules, prototypes, simulations, software applications, software design, systems management, tools</t>
  </si>
  <si>
    <t>access, adoption, business requirement, communication networks, network design, organisational policy, reliability, resilience, scalability</t>
  </si>
  <si>
    <t>activities, adapts, developing software, iterations, organisational policy, plans, programming/software development, software, software construction, software development, software security, stages, techniques measures, tools</t>
  </si>
  <si>
    <t>advises, control, data governance, data management, governance, integrity, maintains, management process, metadata, plans, sources, transformation</t>
  </si>
  <si>
    <t>accessing, analytics, architectures software, business intelligence, data systems, data warehouse, database design, database management system, maintaining, management system, mechanisms, services, services provides, transactional data, warehouse architectures</t>
  </si>
  <si>
    <t>adoption, aligns business, analytics, business strategy, communicating, cross functional, data analytics, data science, decision, decision making, embedded, governance, leadership, transformation, unstructured datum</t>
  </si>
  <si>
    <t>adoption, applying mathematics, create value, data mining, data science, data sets, decision, decision making, innovation, mathematics statistics, organisational policy, plans, predict, predictive modelling, tools</t>
  </si>
  <si>
    <t>adaptability, collaborates, developing systems, improving performance, infrastructure, learn development, machine learn, machine learning, operations, pipelines, tools</t>
  </si>
  <si>
    <t>balancing, continuous integration, data engineering, data management, data management plan, data pipeline, designing building, functional requirement, organisational policy, processing systems, real time, reliable, scalability, scalable, standards architectures</t>
  </si>
  <si>
    <t>activities, automates, data sets, data visualisation, data visuals, decision processes, experimentation</t>
  </si>
  <si>
    <t>adopted, collaboration, coordinating, cross functional teams, decisions, high level, incident management, leadership, management process, restore, swift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</si>
</sst>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2" fontId="0" fillId="0" borderId="0" xfId="0" applyNumberFormat="1"/>
    <xf numFmtId="0" fontId="0" fillId="2" borderId="0" xfId="0" applyFill="1"/>
    <xf numFmtId="166"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workbookViewId="0">
      <selection activeCell="J16" sqref="J16"/>
    </sheetView>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29</v>
      </c>
      <c r="C2" t="s">
        <v>49</v>
      </c>
      <c r="D2">
        <v>12</v>
      </c>
      <c r="E2">
        <v>5</v>
      </c>
      <c r="F2">
        <v>10</v>
      </c>
      <c r="G2" s="2">
        <v>0.70588235294117652</v>
      </c>
      <c r="H2" s="2">
        <v>0.54545454545454541</v>
      </c>
      <c r="I2" s="2">
        <v>0.61538461538461531</v>
      </c>
    </row>
    <row r="3" spans="1:9" x14ac:dyDescent="0.3">
      <c r="A3" t="s">
        <v>10</v>
      </c>
      <c r="B3" t="s">
        <v>30</v>
      </c>
      <c r="C3" t="s">
        <v>50</v>
      </c>
      <c r="D3">
        <v>6</v>
      </c>
      <c r="E3">
        <v>3</v>
      </c>
      <c r="F3">
        <v>5</v>
      </c>
      <c r="G3" s="2">
        <v>0.66666666666666663</v>
      </c>
      <c r="H3" s="2">
        <v>0.54545454545454541</v>
      </c>
      <c r="I3" s="2">
        <v>0.6</v>
      </c>
    </row>
    <row r="4" spans="1:9" x14ac:dyDescent="0.3">
      <c r="A4" t="s">
        <v>11</v>
      </c>
      <c r="B4" t="s">
        <v>31</v>
      </c>
      <c r="C4" t="s">
        <v>51</v>
      </c>
      <c r="D4">
        <v>7</v>
      </c>
      <c r="E4">
        <v>4</v>
      </c>
      <c r="F4">
        <v>6</v>
      </c>
      <c r="G4" s="2">
        <v>0.63636363636363635</v>
      </c>
      <c r="H4" s="2">
        <v>0.53846153846153844</v>
      </c>
      <c r="I4" s="2">
        <v>0.58333333333333337</v>
      </c>
    </row>
    <row r="5" spans="1:9" x14ac:dyDescent="0.3">
      <c r="A5" t="s">
        <v>12</v>
      </c>
      <c r="B5" t="s">
        <v>32</v>
      </c>
      <c r="C5" t="s">
        <v>52</v>
      </c>
      <c r="D5">
        <v>12</v>
      </c>
      <c r="E5">
        <v>9</v>
      </c>
      <c r="F5">
        <v>5</v>
      </c>
      <c r="G5" s="2">
        <v>0.5714285714285714</v>
      </c>
      <c r="H5" s="2">
        <v>0.70588235294117652</v>
      </c>
      <c r="I5" s="2">
        <v>0.63157894736842113</v>
      </c>
    </row>
    <row r="6" spans="1:9" x14ac:dyDescent="0.3">
      <c r="A6" t="s">
        <v>13</v>
      </c>
      <c r="B6" t="s">
        <v>33</v>
      </c>
      <c r="C6" t="s">
        <v>53</v>
      </c>
      <c r="D6">
        <v>11</v>
      </c>
      <c r="E6">
        <v>0</v>
      </c>
      <c r="F6">
        <v>5</v>
      </c>
      <c r="G6" s="2">
        <v>1</v>
      </c>
      <c r="H6" s="2">
        <v>0.6875</v>
      </c>
      <c r="I6" s="2">
        <v>0.81481481481481477</v>
      </c>
    </row>
    <row r="7" spans="1:9" x14ac:dyDescent="0.3">
      <c r="A7" t="s">
        <v>14</v>
      </c>
      <c r="B7" t="s">
        <v>34</v>
      </c>
      <c r="C7" t="s">
        <v>54</v>
      </c>
      <c r="D7">
        <v>20</v>
      </c>
      <c r="E7">
        <v>13</v>
      </c>
      <c r="F7">
        <v>3</v>
      </c>
      <c r="G7" s="2">
        <v>0.60606060606060608</v>
      </c>
      <c r="H7" s="2">
        <v>0.86956521739130432</v>
      </c>
      <c r="I7" s="2">
        <v>0.7142857142857143</v>
      </c>
    </row>
    <row r="8" spans="1:9" x14ac:dyDescent="0.3">
      <c r="A8" t="s">
        <v>15</v>
      </c>
      <c r="B8" t="s">
        <v>35</v>
      </c>
      <c r="C8" t="s">
        <v>55</v>
      </c>
      <c r="D8">
        <v>14</v>
      </c>
      <c r="E8">
        <v>4</v>
      </c>
      <c r="F8">
        <v>2</v>
      </c>
      <c r="G8" s="2">
        <v>0.77777777777777779</v>
      </c>
      <c r="H8" s="2">
        <v>0.875</v>
      </c>
      <c r="I8" s="2">
        <v>0.82352941176470595</v>
      </c>
    </row>
    <row r="9" spans="1:9" x14ac:dyDescent="0.3">
      <c r="A9" t="s">
        <v>16</v>
      </c>
      <c r="B9" t="s">
        <v>36</v>
      </c>
      <c r="C9" t="s">
        <v>56</v>
      </c>
      <c r="D9">
        <v>7</v>
      </c>
      <c r="E9">
        <v>0</v>
      </c>
      <c r="F9">
        <v>2</v>
      </c>
      <c r="G9" s="2">
        <v>1</v>
      </c>
      <c r="H9" s="2">
        <v>0.77777777777777779</v>
      </c>
      <c r="I9" s="2">
        <v>0.87500000000000011</v>
      </c>
    </row>
    <row r="10" spans="1:9" x14ac:dyDescent="0.3">
      <c r="A10" t="s">
        <v>17</v>
      </c>
      <c r="B10" t="s">
        <v>37</v>
      </c>
      <c r="C10" t="s">
        <v>57</v>
      </c>
      <c r="D10">
        <v>13</v>
      </c>
      <c r="E10">
        <v>2</v>
      </c>
      <c r="F10">
        <v>2</v>
      </c>
      <c r="G10" s="2">
        <v>0.8666666666666667</v>
      </c>
      <c r="H10" s="2">
        <v>0.8666666666666667</v>
      </c>
      <c r="I10" s="2">
        <v>0.8666666666666667</v>
      </c>
    </row>
    <row r="11" spans="1:9" x14ac:dyDescent="0.3">
      <c r="A11" t="s">
        <v>18</v>
      </c>
      <c r="B11" t="s">
        <v>38</v>
      </c>
      <c r="C11" t="s">
        <v>58</v>
      </c>
      <c r="D11">
        <v>11</v>
      </c>
      <c r="E11">
        <v>0</v>
      </c>
      <c r="F11">
        <v>5</v>
      </c>
      <c r="G11" s="2">
        <v>1</v>
      </c>
      <c r="H11" s="2">
        <v>0.6875</v>
      </c>
      <c r="I11" s="2">
        <v>0.81481481481481477</v>
      </c>
    </row>
    <row r="12" spans="1:9" x14ac:dyDescent="0.3">
      <c r="A12" t="s">
        <v>19</v>
      </c>
      <c r="B12" t="s">
        <v>39</v>
      </c>
      <c r="C12" t="s">
        <v>59</v>
      </c>
      <c r="D12">
        <v>11</v>
      </c>
      <c r="E12">
        <v>2</v>
      </c>
      <c r="F12">
        <v>0</v>
      </c>
      <c r="G12" s="2">
        <v>0.84615384615384615</v>
      </c>
      <c r="H12" s="2">
        <v>1</v>
      </c>
      <c r="I12" s="2">
        <v>0.91666666666666663</v>
      </c>
    </row>
    <row r="13" spans="1:9" x14ac:dyDescent="0.3">
      <c r="A13" t="s">
        <v>20</v>
      </c>
      <c r="B13" t="s">
        <v>40</v>
      </c>
      <c r="C13" t="s">
        <v>40</v>
      </c>
      <c r="D13">
        <v>6</v>
      </c>
      <c r="E13">
        <v>0</v>
      </c>
      <c r="F13">
        <v>0</v>
      </c>
      <c r="G13" s="2">
        <v>1</v>
      </c>
      <c r="H13" s="2">
        <v>1</v>
      </c>
      <c r="I13" s="2">
        <v>1</v>
      </c>
    </row>
    <row r="14" spans="1:9" x14ac:dyDescent="0.3">
      <c r="A14" t="s">
        <v>21</v>
      </c>
      <c r="B14" t="s">
        <v>41</v>
      </c>
      <c r="C14" t="s">
        <v>60</v>
      </c>
      <c r="D14">
        <v>15</v>
      </c>
      <c r="E14">
        <v>2</v>
      </c>
      <c r="F14">
        <v>1</v>
      </c>
      <c r="G14" s="2">
        <v>0.88235294117647056</v>
      </c>
      <c r="H14" s="2">
        <v>0.9375</v>
      </c>
      <c r="I14" s="2">
        <v>0.90909090909090906</v>
      </c>
    </row>
    <row r="15" spans="1:9" x14ac:dyDescent="0.3">
      <c r="A15" t="s">
        <v>22</v>
      </c>
      <c r="B15" t="s">
        <v>42</v>
      </c>
      <c r="C15" t="s">
        <v>61</v>
      </c>
      <c r="D15">
        <v>10</v>
      </c>
      <c r="E15">
        <v>1</v>
      </c>
      <c r="F15">
        <v>1</v>
      </c>
      <c r="G15" s="2">
        <v>0.90909090909090906</v>
      </c>
      <c r="H15" s="2">
        <v>0.90909090909090906</v>
      </c>
      <c r="I15" s="2">
        <v>0.90909090909090906</v>
      </c>
    </row>
    <row r="16" spans="1:9" x14ac:dyDescent="0.3">
      <c r="A16" t="s">
        <v>23</v>
      </c>
      <c r="B16" t="s">
        <v>43</v>
      </c>
      <c r="C16" t="s">
        <v>62</v>
      </c>
      <c r="D16">
        <v>4</v>
      </c>
      <c r="E16">
        <v>0</v>
      </c>
      <c r="F16">
        <v>2</v>
      </c>
      <c r="G16" s="2">
        <v>1</v>
      </c>
      <c r="H16" s="2">
        <v>0.66666666666666663</v>
      </c>
      <c r="I16" s="2">
        <v>0.8</v>
      </c>
    </row>
    <row r="17" spans="1:9" x14ac:dyDescent="0.3">
      <c r="A17" t="s">
        <v>24</v>
      </c>
      <c r="B17" t="s">
        <v>44</v>
      </c>
      <c r="C17" t="s">
        <v>63</v>
      </c>
      <c r="D17">
        <v>9</v>
      </c>
      <c r="E17">
        <v>2</v>
      </c>
      <c r="F17">
        <v>2</v>
      </c>
      <c r="G17" s="2">
        <v>0.81818181818181823</v>
      </c>
      <c r="H17" s="2">
        <v>0.81818181818181823</v>
      </c>
      <c r="I17" s="2">
        <v>0.81818181818181823</v>
      </c>
    </row>
    <row r="18" spans="1:9" x14ac:dyDescent="0.3">
      <c r="A18" t="s">
        <v>25</v>
      </c>
      <c r="B18" t="s">
        <v>45</v>
      </c>
      <c r="C18" t="s">
        <v>64</v>
      </c>
      <c r="D18">
        <v>9</v>
      </c>
      <c r="E18">
        <v>2</v>
      </c>
      <c r="F18">
        <v>0</v>
      </c>
      <c r="G18" s="2">
        <v>0.81818181818181823</v>
      </c>
      <c r="H18" s="2">
        <v>1</v>
      </c>
      <c r="I18" s="2">
        <v>0.9</v>
      </c>
    </row>
    <row r="19" spans="1:9" x14ac:dyDescent="0.3">
      <c r="A19" t="s">
        <v>26</v>
      </c>
      <c r="B19" t="s">
        <v>46</v>
      </c>
      <c r="C19" t="s">
        <v>46</v>
      </c>
      <c r="D19">
        <v>14</v>
      </c>
      <c r="E19">
        <v>0</v>
      </c>
      <c r="F19">
        <v>0</v>
      </c>
      <c r="G19" s="2">
        <v>1</v>
      </c>
      <c r="H19" s="2">
        <v>1</v>
      </c>
      <c r="I19" s="2">
        <v>1</v>
      </c>
    </row>
    <row r="20" spans="1:9" x14ac:dyDescent="0.3">
      <c r="A20" t="s">
        <v>27</v>
      </c>
      <c r="B20" t="s">
        <v>47</v>
      </c>
      <c r="C20" t="s">
        <v>65</v>
      </c>
      <c r="D20">
        <v>8</v>
      </c>
      <c r="E20">
        <v>0</v>
      </c>
      <c r="F20">
        <v>2</v>
      </c>
      <c r="G20" s="2">
        <v>1</v>
      </c>
      <c r="H20" s="2">
        <v>0.8</v>
      </c>
      <c r="I20" s="2">
        <v>0.88888888888888895</v>
      </c>
    </row>
    <row r="21" spans="1:9" x14ac:dyDescent="0.3">
      <c r="A21" t="s">
        <v>28</v>
      </c>
      <c r="B21" t="s">
        <v>48</v>
      </c>
      <c r="C21" t="s">
        <v>66</v>
      </c>
      <c r="D21">
        <v>17</v>
      </c>
      <c r="E21">
        <v>4</v>
      </c>
      <c r="F21">
        <v>1</v>
      </c>
      <c r="G21" s="2">
        <v>0.80952380952380953</v>
      </c>
      <c r="H21" s="2">
        <v>0.94444444444444442</v>
      </c>
      <c r="I21" s="2">
        <v>0.87179487179487181</v>
      </c>
    </row>
    <row r="22" spans="1:9" x14ac:dyDescent="0.3">
      <c r="D22" s="3">
        <f>SUM(D2:D21)</f>
        <v>216</v>
      </c>
      <c r="E22" s="3">
        <f t="shared" ref="E22:F22" si="0">SUM(E2:E21)</f>
        <v>53</v>
      </c>
      <c r="F22" s="3">
        <f t="shared" si="0"/>
        <v>54</v>
      </c>
      <c r="G22" s="4">
        <f>AVERAGE(G2:G21)</f>
        <v>0.84571657101068864</v>
      </c>
      <c r="H22" s="4">
        <f t="shared" ref="H22:I22" si="1">AVERAGE(H2:H21)</f>
        <v>0.80875732412656964</v>
      </c>
      <c r="I22" s="4">
        <f t="shared" si="1"/>
        <v>0.81765611910735747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2"/>
  <sheetViews>
    <sheetView workbookViewId="0">
      <selection activeCell="B27" sqref="B27"/>
    </sheetView>
  </sheetViews>
  <sheetFormatPr defaultRowHeight="14.4" x14ac:dyDescent="0.3"/>
  <sheetData>
    <row r="1" spans="1:9" x14ac:dyDescent="0.3">
      <c r="A1" s="1" t="s">
        <v>67</v>
      </c>
      <c r="B1" s="1" t="s">
        <v>1</v>
      </c>
      <c r="C1" s="1" t="s">
        <v>2</v>
      </c>
      <c r="D1" s="1" t="s">
        <v>3</v>
      </c>
      <c r="E1" s="1" t="s">
        <v>4</v>
      </c>
      <c r="F1" s="1" t="s">
        <v>5</v>
      </c>
      <c r="G1" s="1" t="s">
        <v>6</v>
      </c>
      <c r="H1" s="1" t="s">
        <v>7</v>
      </c>
      <c r="I1" s="1" t="s">
        <v>8</v>
      </c>
    </row>
    <row r="2" spans="1:9" x14ac:dyDescent="0.3">
      <c r="A2" t="s">
        <v>68</v>
      </c>
      <c r="B2" t="s">
        <v>88</v>
      </c>
      <c r="C2" t="s">
        <v>108</v>
      </c>
      <c r="D2">
        <v>9</v>
      </c>
      <c r="E2">
        <v>1</v>
      </c>
      <c r="F2">
        <v>2</v>
      </c>
      <c r="G2" s="2">
        <v>0.9</v>
      </c>
      <c r="H2" s="2">
        <v>0.81818181818181823</v>
      </c>
      <c r="I2" s="2">
        <v>0.85714285714285721</v>
      </c>
    </row>
    <row r="3" spans="1:9" x14ac:dyDescent="0.3">
      <c r="A3" t="s">
        <v>69</v>
      </c>
      <c r="B3" t="s">
        <v>89</v>
      </c>
      <c r="C3" t="s">
        <v>109</v>
      </c>
      <c r="D3">
        <v>9</v>
      </c>
      <c r="E3">
        <v>2</v>
      </c>
      <c r="F3">
        <v>0</v>
      </c>
      <c r="G3" s="2">
        <v>0.81818181818181823</v>
      </c>
      <c r="H3" s="2">
        <v>1</v>
      </c>
      <c r="I3" s="2">
        <v>0.9</v>
      </c>
    </row>
    <row r="4" spans="1:9" x14ac:dyDescent="0.3">
      <c r="A4" t="s">
        <v>70</v>
      </c>
      <c r="B4" t="s">
        <v>90</v>
      </c>
      <c r="C4" t="s">
        <v>110</v>
      </c>
      <c r="D4">
        <v>7</v>
      </c>
      <c r="E4">
        <v>0</v>
      </c>
      <c r="F4">
        <v>1</v>
      </c>
      <c r="G4" s="2">
        <v>1</v>
      </c>
      <c r="H4" s="2">
        <v>0.875</v>
      </c>
      <c r="I4" s="2">
        <v>0.93333333333333335</v>
      </c>
    </row>
    <row r="5" spans="1:9" x14ac:dyDescent="0.3">
      <c r="A5" t="s">
        <v>71</v>
      </c>
      <c r="B5" t="s">
        <v>91</v>
      </c>
      <c r="C5" t="s">
        <v>111</v>
      </c>
      <c r="D5">
        <v>15</v>
      </c>
      <c r="E5">
        <v>2</v>
      </c>
      <c r="F5">
        <v>0</v>
      </c>
      <c r="G5" s="2">
        <v>0.88235294117647056</v>
      </c>
      <c r="H5" s="2">
        <v>1</v>
      </c>
      <c r="I5" s="2">
        <v>0.9375</v>
      </c>
    </row>
    <row r="6" spans="1:9" x14ac:dyDescent="0.3">
      <c r="A6" t="s">
        <v>72</v>
      </c>
      <c r="B6" t="s">
        <v>92</v>
      </c>
      <c r="C6" t="s">
        <v>112</v>
      </c>
      <c r="D6">
        <v>8</v>
      </c>
      <c r="E6">
        <v>2</v>
      </c>
      <c r="F6">
        <v>3</v>
      </c>
      <c r="G6" s="2">
        <v>0.8</v>
      </c>
      <c r="H6" s="2">
        <v>0.72727272727272729</v>
      </c>
      <c r="I6" s="2">
        <v>0.76190476190476197</v>
      </c>
    </row>
    <row r="7" spans="1:9" x14ac:dyDescent="0.3">
      <c r="A7" t="s">
        <v>73</v>
      </c>
      <c r="B7" t="s">
        <v>93</v>
      </c>
      <c r="C7" t="s">
        <v>113</v>
      </c>
      <c r="D7">
        <v>17</v>
      </c>
      <c r="E7">
        <v>3</v>
      </c>
      <c r="F7">
        <v>2</v>
      </c>
      <c r="G7" s="2">
        <v>0.85</v>
      </c>
      <c r="H7" s="2">
        <v>0.89473684210526316</v>
      </c>
      <c r="I7" s="2">
        <v>0.87179487179487181</v>
      </c>
    </row>
    <row r="8" spans="1:9" x14ac:dyDescent="0.3">
      <c r="A8" t="s">
        <v>74</v>
      </c>
      <c r="B8" t="s">
        <v>94</v>
      </c>
      <c r="C8" t="s">
        <v>114</v>
      </c>
      <c r="D8">
        <v>8</v>
      </c>
      <c r="E8">
        <v>2</v>
      </c>
      <c r="F8">
        <v>0</v>
      </c>
      <c r="G8" s="2">
        <v>0.8</v>
      </c>
      <c r="H8" s="2">
        <v>1</v>
      </c>
      <c r="I8" s="2">
        <v>0.88888888888888895</v>
      </c>
    </row>
    <row r="9" spans="1:9" x14ac:dyDescent="0.3">
      <c r="A9" t="s">
        <v>75</v>
      </c>
      <c r="B9" t="s">
        <v>95</v>
      </c>
      <c r="C9" t="s">
        <v>95</v>
      </c>
      <c r="D9">
        <v>10</v>
      </c>
      <c r="E9">
        <v>0</v>
      </c>
      <c r="F9">
        <v>0</v>
      </c>
      <c r="G9" s="2">
        <v>1</v>
      </c>
      <c r="H9" s="2">
        <v>1</v>
      </c>
      <c r="I9" s="2">
        <v>1</v>
      </c>
    </row>
    <row r="10" spans="1:9" x14ac:dyDescent="0.3">
      <c r="A10" t="s">
        <v>76</v>
      </c>
      <c r="B10" t="s">
        <v>96</v>
      </c>
      <c r="C10" t="s">
        <v>115</v>
      </c>
      <c r="D10">
        <v>12</v>
      </c>
      <c r="E10">
        <v>1</v>
      </c>
      <c r="F10">
        <v>1</v>
      </c>
      <c r="G10" s="2">
        <v>0.92307692307692313</v>
      </c>
      <c r="H10" s="2">
        <v>0.92307692307692313</v>
      </c>
      <c r="I10" s="2">
        <v>0.92307692307692313</v>
      </c>
    </row>
    <row r="11" spans="1:9" x14ac:dyDescent="0.3">
      <c r="A11" t="s">
        <v>77</v>
      </c>
      <c r="B11" t="s">
        <v>97</v>
      </c>
      <c r="C11" t="s">
        <v>116</v>
      </c>
      <c r="D11">
        <v>8</v>
      </c>
      <c r="E11">
        <v>1</v>
      </c>
      <c r="F11">
        <v>1</v>
      </c>
      <c r="G11" s="2">
        <v>0.88888888888888884</v>
      </c>
      <c r="H11" s="2">
        <v>0.88888888888888884</v>
      </c>
      <c r="I11" s="2">
        <v>0.88888888888888884</v>
      </c>
    </row>
    <row r="12" spans="1:9" x14ac:dyDescent="0.3">
      <c r="A12" t="s">
        <v>78</v>
      </c>
      <c r="B12" t="s">
        <v>98</v>
      </c>
      <c r="C12" t="s">
        <v>117</v>
      </c>
      <c r="D12">
        <v>12</v>
      </c>
      <c r="E12">
        <v>2</v>
      </c>
      <c r="F12">
        <v>2</v>
      </c>
      <c r="G12" s="2">
        <v>0.8571428571428571</v>
      </c>
      <c r="H12" s="2">
        <v>0.8571428571428571</v>
      </c>
      <c r="I12" s="2">
        <v>0.8571428571428571</v>
      </c>
    </row>
    <row r="13" spans="1:9" x14ac:dyDescent="0.3">
      <c r="A13" t="s">
        <v>79</v>
      </c>
      <c r="B13" t="s">
        <v>99</v>
      </c>
      <c r="C13" t="s">
        <v>118</v>
      </c>
      <c r="D13">
        <v>10</v>
      </c>
      <c r="E13">
        <v>2</v>
      </c>
      <c r="F13">
        <v>1</v>
      </c>
      <c r="G13" s="2">
        <v>0.83333333333333337</v>
      </c>
      <c r="H13" s="2">
        <v>0.90909090909090906</v>
      </c>
      <c r="I13" s="2">
        <v>0.86956521739130432</v>
      </c>
    </row>
    <row r="14" spans="1:9" x14ac:dyDescent="0.3">
      <c r="A14" t="s">
        <v>80</v>
      </c>
      <c r="B14" t="s">
        <v>100</v>
      </c>
      <c r="C14" t="s">
        <v>119</v>
      </c>
      <c r="D14">
        <v>15</v>
      </c>
      <c r="E14">
        <v>0</v>
      </c>
      <c r="F14">
        <v>2</v>
      </c>
      <c r="G14" s="2">
        <v>1</v>
      </c>
      <c r="H14" s="2">
        <v>0.88235294117647056</v>
      </c>
      <c r="I14" s="2">
        <v>0.9375</v>
      </c>
    </row>
    <row r="15" spans="1:9" x14ac:dyDescent="0.3">
      <c r="A15" t="s">
        <v>81</v>
      </c>
      <c r="B15" t="s">
        <v>101</v>
      </c>
      <c r="C15" t="s">
        <v>120</v>
      </c>
      <c r="D15">
        <v>13</v>
      </c>
      <c r="E15">
        <v>2</v>
      </c>
      <c r="F15">
        <v>1</v>
      </c>
      <c r="G15" s="2">
        <v>0.8666666666666667</v>
      </c>
      <c r="H15" s="2">
        <v>0.9285714285714286</v>
      </c>
      <c r="I15" s="2">
        <v>0.89655172413793105</v>
      </c>
    </row>
    <row r="16" spans="1:9" x14ac:dyDescent="0.3">
      <c r="A16" t="s">
        <v>82</v>
      </c>
      <c r="B16" t="s">
        <v>102</v>
      </c>
      <c r="C16" t="s">
        <v>121</v>
      </c>
      <c r="D16">
        <v>13</v>
      </c>
      <c r="E16">
        <v>2</v>
      </c>
      <c r="F16">
        <v>0</v>
      </c>
      <c r="G16" s="2">
        <v>0.8666666666666667</v>
      </c>
      <c r="H16" s="2">
        <v>1</v>
      </c>
      <c r="I16" s="2">
        <v>0.9285714285714286</v>
      </c>
    </row>
    <row r="17" spans="1:9" x14ac:dyDescent="0.3">
      <c r="A17" t="s">
        <v>83</v>
      </c>
      <c r="B17" t="s">
        <v>103</v>
      </c>
      <c r="C17" t="s">
        <v>122</v>
      </c>
      <c r="D17">
        <v>11</v>
      </c>
      <c r="E17">
        <v>0</v>
      </c>
      <c r="F17">
        <v>2</v>
      </c>
      <c r="G17" s="2">
        <v>1</v>
      </c>
      <c r="H17" s="2">
        <v>0.84615384615384615</v>
      </c>
      <c r="I17" s="2">
        <v>0.91666666666666663</v>
      </c>
    </row>
    <row r="18" spans="1:9" x14ac:dyDescent="0.3">
      <c r="A18" t="s">
        <v>84</v>
      </c>
      <c r="B18" t="s">
        <v>104</v>
      </c>
      <c r="C18" t="s">
        <v>123</v>
      </c>
      <c r="D18">
        <v>13</v>
      </c>
      <c r="E18">
        <v>2</v>
      </c>
      <c r="F18">
        <v>3</v>
      </c>
      <c r="G18" s="2">
        <v>0.8666666666666667</v>
      </c>
      <c r="H18" s="2">
        <v>0.8125</v>
      </c>
      <c r="I18" s="2">
        <v>0.83870967741935487</v>
      </c>
    </row>
    <row r="19" spans="1:9" x14ac:dyDescent="0.3">
      <c r="A19" t="s">
        <v>85</v>
      </c>
      <c r="B19" t="s">
        <v>105</v>
      </c>
      <c r="C19" t="s">
        <v>124</v>
      </c>
      <c r="D19">
        <v>6</v>
      </c>
      <c r="E19">
        <v>1</v>
      </c>
      <c r="F19">
        <v>2</v>
      </c>
      <c r="G19" s="2">
        <v>0.8571428571428571</v>
      </c>
      <c r="H19" s="2">
        <v>0.75</v>
      </c>
      <c r="I19" s="2">
        <v>0.79999999999999993</v>
      </c>
    </row>
    <row r="20" spans="1:9" x14ac:dyDescent="0.3">
      <c r="A20" t="s">
        <v>86</v>
      </c>
      <c r="B20" t="s">
        <v>106</v>
      </c>
      <c r="C20" t="s">
        <v>125</v>
      </c>
      <c r="D20">
        <v>10</v>
      </c>
      <c r="E20">
        <v>1</v>
      </c>
      <c r="F20">
        <v>1</v>
      </c>
      <c r="G20" s="2">
        <v>0.90909090909090906</v>
      </c>
      <c r="H20" s="2">
        <v>0.90909090909090906</v>
      </c>
      <c r="I20" s="2">
        <v>0.90909090909090906</v>
      </c>
    </row>
    <row r="21" spans="1:9" x14ac:dyDescent="0.3">
      <c r="A21" t="s">
        <v>87</v>
      </c>
      <c r="B21" t="s">
        <v>107</v>
      </c>
      <c r="C21" t="s">
        <v>107</v>
      </c>
      <c r="D21">
        <v>7</v>
      </c>
      <c r="E21">
        <v>0</v>
      </c>
      <c r="F21">
        <v>0</v>
      </c>
      <c r="G21" s="2">
        <v>1</v>
      </c>
      <c r="H21" s="2">
        <v>1</v>
      </c>
      <c r="I21" s="2">
        <v>1</v>
      </c>
    </row>
    <row r="22" spans="1:9" x14ac:dyDescent="0.3">
      <c r="D22" s="3">
        <f>SUM(D2:D21)</f>
        <v>213</v>
      </c>
      <c r="E22" s="3">
        <f t="shared" ref="E22:F22" si="0">SUM(E2:E21)</f>
        <v>26</v>
      </c>
      <c r="F22" s="3">
        <f t="shared" si="0"/>
        <v>24</v>
      </c>
      <c r="G22" s="4">
        <f>AVERAGE(G2:G21)</f>
        <v>0.89596052640170298</v>
      </c>
      <c r="H22" s="4">
        <f t="shared" ref="H22:I22" si="1">AVERAGE(H2:H21)</f>
        <v>0.90110300453760228</v>
      </c>
      <c r="I22" s="4">
        <f t="shared" si="1"/>
        <v>0.89581645027254897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Hasil CLO</vt:lpstr>
      <vt:lpstr>Hasil SFIA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asus</cp:lastModifiedBy>
  <dcterms:created xsi:type="dcterms:W3CDTF">2026-03-13T07:19:02Z</dcterms:created>
  <dcterms:modified xsi:type="dcterms:W3CDTF">2026-03-13T07:22:40Z</dcterms:modified>
</cp:coreProperties>
</file>