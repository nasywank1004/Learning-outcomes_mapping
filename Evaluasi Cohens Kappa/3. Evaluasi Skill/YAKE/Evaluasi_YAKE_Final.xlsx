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3. Evaluasi Skill\YAKE\"/>
    </mc:Choice>
  </mc:AlternateContent>
  <xr:revisionPtr revIDLastSave="0" documentId="13_ncr:1_{707DCB87-368A-4ACE-98AB-D674E68939F7}" xr6:coauthVersionLast="45" xr6:coauthVersionMax="45" xr10:uidLastSave="{00000000-0000-0000-0000-000000000000}"/>
  <bookViews>
    <workbookView xWindow="-108" yWindow="-108" windowWidth="23256" windowHeight="12456" xr2:uid="{00000000-000D-0000-FFFF-FFFF00000000}"/>
  </bookViews>
  <sheets>
    <sheet name="Hasil CLO" sheetId="1" r:id="rId1"/>
    <sheet name="Hasil SFIA" sheetId="2" r:id="rId2"/>
  </sheets>
  <calcPr calcId="191029"/>
</workbook>
</file>

<file path=xl/calcChain.xml><?xml version="1.0" encoding="utf-8"?>
<calcChain xmlns="http://schemas.openxmlformats.org/spreadsheetml/2006/main">
  <c r="I22" i="2" l="1"/>
  <c r="H22" i="2"/>
  <c r="G22" i="2"/>
  <c r="F22" i="2"/>
  <c r="E22" i="2"/>
  <c r="D22" i="2"/>
  <c r="I22" i="1"/>
  <c r="H22" i="1"/>
  <c r="G22" i="1"/>
  <c r="F22" i="1"/>
  <c r="E22" i="1"/>
  <c r="D22" i="1"/>
</calcChain>
</file>

<file path=xl/sharedStrings.xml><?xml version="1.0" encoding="utf-8"?>
<sst xmlns="http://schemas.openxmlformats.org/spreadsheetml/2006/main" count="138" uniqueCount="130">
  <si>
    <t>Nama Mata Kuliah</t>
  </si>
  <si>
    <t>Ground Truth</t>
  </si>
  <si>
    <t>System Skills</t>
  </si>
  <si>
    <t>TP</t>
  </si>
  <si>
    <t>FP</t>
  </si>
  <si>
    <t>FN</t>
  </si>
  <si>
    <t>Precision</t>
  </si>
  <si>
    <t>Recall</t>
  </si>
  <si>
    <t>F1-Score</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</si>
  <si>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</si>
  <si>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</si>
  <si>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</si>
  <si>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</si>
  <si>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</si>
  <si>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</si>
  <si>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</si>
  <si>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</si>
  <si>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</si>
  <si>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</si>
  <si>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</si>
  <si>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</si>
  <si>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</si>
  <si>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</si>
  <si>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</si>
  <si>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</si>
  <si>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</si>
  <si>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</si>
  <si>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</si>
  <si>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</si>
  <si>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business intelligence, data sources, decision making, electronic, electronic business system, electronic business systems, electronic trading systems, hardware components, information system architecture, information systems, information technology, infrastructure, infrastructure management, it solutions, management, networks, security and ethical, software components, system architecture, system implementation, systems business, telecommunications</t>
  </si>
  <si>
    <t>algorithms, conditional if, flowcharts, for loops looping, java, programming, programming languages, python, recursive function, variable and operators, while function</t>
  </si>
  <si>
    <t>algorithms, arithmetic operators, flowcharts, functions, java, logical operators, programming, programming language, programming languages, python, recursive, variable, while loop</t>
  </si>
  <si>
    <t>calculating, cluster analysis, component analysis, correspondence analysis, data center, data description, data set, data sets, data visualization, identifying, interpreting, measuring, normalization, principal component analysis, probability, sampling, summarize</t>
  </si>
  <si>
    <t>business process, business process analysis, business process model, business processes, finance, government, human resource, identify, manufacturing, marketing, process analysis, process design, process model, production marketing, reengineering, resource marketing</t>
  </si>
  <si>
    <t>calculus, data definition language, data manipulation, data manipulation language, data model, data modelling, data type, database, database design, database development, database management system, database model, dbms, design databases, entity relationship, indexing, management system, normalization, relational database, relational model, sql, storage, volatile non volatile</t>
  </si>
  <si>
    <t>calculus, data definition language, data manipulation, data manipulation language, data model, data modelling, data type, database, database model, diagram, entity relationship, normalization, recursive, relational database, sql, volatile non volatile</t>
  </si>
  <si>
    <t>abstract class, constructor, destructor, exception handling, inheritance, operator overloading, polymorphism, programming, type conversion</t>
  </si>
  <si>
    <t>basic structure, computer system, file configuration, file system, functions process, java, java virtual machine, linux, management, memory management, operating system, process management, system development, virtual machine, windows</t>
  </si>
  <si>
    <t>analysis, data design, data flow diagram, design, design design, design information, design interface, information system, information systems, interface design, modeling language, object oriented, requirement specification, system development, system requirement, unified modeling language</t>
  </si>
  <si>
    <t>algorithms, analytics, artificial neural network, bayes classifier, decision trees, k mean cluster, k nearest neighbors, machine learn, machine learning, recommender system, support vector machine</t>
  </si>
  <si>
    <t>algorithms, data preprocessing, machine algorithms, machine learning, tools, transformation</t>
  </si>
  <si>
    <t>application layer, computer network, data link layer, dns, information technology, lan, local networks, network architecture, network computer, network layer, network service, routing protocols, subnetting, transport layer, wan, wider areas</t>
  </si>
  <si>
    <t>backend, css, frontend, html, information technology, javascript, oop, php framework, programming, programming concept, web programming</t>
  </si>
  <si>
    <t>darts, database access, flutter, mobile applications, programming, widgets</t>
  </si>
  <si>
    <t>collaborative tools, construction, data analysis, data gathering, design interaction, emotional interaction, interaction design, interface design, need analysis, presentation, prototyping</t>
  </si>
  <si>
    <t>collaborative tools, color, design interaction, design thinking, interaction, interaction design, interface design, usability, wireframes</t>
  </si>
  <si>
    <t>case, development software, documents software, information system, installation, integrated, practicum, project based, requirement management, software design, software development, software project, software testing, system development</t>
  </si>
  <si>
    <t>analysis, analysis cluster, analyze data, data analysis, data data, data data data, data exploration, data visualization, visualization, visualize</t>
  </si>
  <si>
    <t>application architecture, architecture framework, building blocks, business architecture, business strategy, data architecture, data architectures, diagrams, enterprise architecture, enterprise architecture framework, information system, modeling, modelling, planning, required business, requirements requirements, risk analysis, technology architecture</t>
  </si>
  <si>
    <t>business, data, expected, generally explain theoretical, global, hardware components, information system infrastructure, role, support, system architecture security, technology, telecommunications and networks, trading</t>
  </si>
  <si>
    <t>create, discusses, java, loops, loops java implementation, programming languages, python, recursive functions java, students are expected</t>
  </si>
  <si>
    <t>arithmetic operators logical, expected, functions subroutines recursive, introduction to flowcharts, java, language variable arithmetic, loop, operators conditionals loop, programming, python, students</t>
  </si>
  <si>
    <t>analysis d correspondence, concept, data set, expected, interpreting graphs central, outliers, present numerical information, principal component analysis, sharpness random variables, size, variability measuring</t>
  </si>
  <si>
    <t>design, expected, government, health, human, human resource production, identify business processes, model, organization human resource, processes general business, taking</t>
  </si>
  <si>
    <t>background, build, case study students, cdm, correctly, data, design, entity relationship diagram, explain basic principles, historical modelling dependency, model pdm evaluation, principles of integrity, relational calculus sql, space, sql, sql trigger storage, type, unique</t>
  </si>
  <si>
    <t>background of database, build, cdm, conceptual data modelling, covers, data, database models correctly, ddl sql, entity, manipulation language dml, relation schema reparation, type, type mandatory optional, usage</t>
  </si>
  <si>
    <t>basic, class, correctly, data type, expressions function class, input, object oriented programming, polymorphism, programming basic expressions, type conversion inheritance</t>
  </si>
  <si>
    <t>computer, functions process management, java virtual machine, linux and java, memory management virtual, operating, scheduling techniques memory, students, system file</t>
  </si>
  <si>
    <t>cycle information, data, design, development method analysis, diagrams object oriented, flow, information system development, oriented approach unified, system, unified modeling language</t>
  </si>
  <si>
    <t>algorithm, artificial neural network, cases, data, data analytics decision, decision trees artificial, knn, machines recommender system, nearest neighbors knn, support vector machines</t>
  </si>
  <si>
    <t>algorithms, cases, introduction, machine, preprocessing classification clustering, students are expected, tools data</t>
  </si>
  <si>
    <t>application dns mail, apply, basis, computer network services, dns mail monitoring, expected, fully understand computer, layer, local, netmask, protocols transport layer, students, technology development, wan, wider areas wan</t>
  </si>
  <si>
    <t>apply concepts theories, basic html frontend, css, css javascript php, development of information, frontend programming css, information technology, php, programming php framework, rules, students are expected, support, web</t>
  </si>
  <si>
    <t>basic, develop mobile, expected, flutter structure develop, mobile based applications, programming of darts, students, widgets database access</t>
  </si>
  <si>
    <t>analysis designing prototyping, cognitive aspects social, data, design, emotional interaction data, gathering data analysis, students are expected, taking, tools</t>
  </si>
  <si>
    <t>applying interface design, button combo radio, color meaning background, design thinking, expected, fonts size style, highlight, students, usability guide, wireframes</t>
  </si>
  <si>
    <t>asked to build, design, design implementation strategy, handover, information system development, perform, project, software testing preparation, supporting documents software, system</t>
  </si>
  <si>
    <t>analysis cluster visualization, data, data exploration data, high, models high dimensional, results, techniques analysis cluster, visualization models high</t>
  </si>
  <si>
    <t>architecture preparation evaluation, business building blocks, enterprise architecture framework, gaps, modeling methods viewpoints, planning, required, roadmap, strategy, technology, viewpoints and assistive</t>
  </si>
  <si>
    <t>Skill -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</si>
  <si>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</si>
  <si>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</si>
  <si>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</si>
  <si>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</si>
  <si>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</si>
  <si>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</si>
  <si>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</si>
  <si>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</si>
  <si>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</si>
  <si>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</si>
  <si>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</si>
  <si>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</si>
  <si>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</si>
  <si>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</si>
  <si>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</si>
  <si>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</si>
  <si>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</si>
  <si>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</si>
  <si>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</si>
  <si>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</si>
  <si>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business strategy, enterprise information, execute, information security, operational plans, resources, security control, security controls, security management, security management strategies, security strategy</t>
  </si>
  <si>
    <t>communicating, delegate authority, execution, governance, managing risk, planning, resources, risk appetite, risk management</t>
  </si>
  <si>
    <t>allocates resources, artificial intelligence (ai) and data ethics, decision processes, governance, high level, industry, promoting, resources</t>
  </si>
  <si>
    <t>activities, audit, collaborates, control, cross functional, integrate, investigation, management, mechanisms, organisational policy, plans, presents, professionals, risk based, supply chain</t>
  </si>
  <si>
    <t>audits, corrective action, international standard, maintains compliance, management framework, plans, plans systematic, quality improvement, quality management, reduce errors, strategy business</t>
  </si>
  <si>
    <t>budgets, business priority, change control, collaboration, communicates, governance, leadership, management, manages change, monitors performance, performance metric, proactively, product quality, project management, project quality, risks, scale, timelines, tools manages</t>
  </si>
  <si>
    <t>backlog, customer user, developing content, managing, product lifecycle, product management, product requirement, user research</t>
  </si>
  <si>
    <t>activities, adoption, designing systems, development programme, develops system, organisational policy, system architecture, system design, system development, systems design</t>
  </si>
  <si>
    <t>adapts software, corrective action, decision making, design method, designing software, impact analysis, modules, prototypes, simulations, software applications, software design, systems management, tools</t>
  </si>
  <si>
    <t>access, adoption, business requirement, business requirements, communication networks, network design, organisational policy, reliability, scalability</t>
  </si>
  <si>
    <t>activities, developing software, iterations, monitors applications, organisational policy, plans, programming/software development, software, software construction, software development, software security, stage, stages, tools</t>
  </si>
  <si>
    <t>control, controls, data governance, data management, governance, integrity, maintains, management process, plans, sources, transformation</t>
  </si>
  <si>
    <t>accessing, analytics, architectures software, business intelligence, data systems, data warehouse, database design, database management system, design policies, expert guidance, maintaining, management system, mechanisms, services, services provides, transactional data, warehouse architectures</t>
  </si>
  <si>
    <t>adoption, aligns business, analytics, business strategy, communicating, cross functional, data analytics, data science, decision making, embedded, governance, leadership, organisational performance, transformation</t>
  </si>
  <si>
    <t>adoption, create value, data mining, data science, data sets, decision, decision making, innovation, mathematics statistics, organisational policy, predict, predictive modelling, tools</t>
  </si>
  <si>
    <t>adaptability, collaborates, developing systems, improving performance, infrastructure, learn development, machine learn, machine learning, machine learning projects, mlops, operations, pipelines, tools</t>
  </si>
  <si>
    <t>continuous integration, data engineering, data management, data management plan, data pipeline, functional requirement, functional requirements, monitoring, organisational policy, processing systems, real time, reliable, scalability, scalable, securing, standards architectures</t>
  </si>
  <si>
    <t>automates, data sets, data visualisation, data visuals, decision making, decision processes, experimentation, visualisation techniques</t>
  </si>
  <si>
    <t>adopted, collaboration, collaborations, coordinating, cross functional teams, decisions, high level, incident management, leadership, management process, swift</t>
  </si>
  <si>
    <t>coordinates, investigate, management process, managing, problem management, reporting systems, resolve problems</t>
  </si>
  <si>
    <t>business, controls, execute, framework, information security, information security strategy, leads, management strategies directs, plans secures organisational, security expertise guidance</t>
  </si>
  <si>
    <t>detailed, establishes the organisation, governance frameworks, planning, risk, risk management, risk management strategy, strategic objectives defines</t>
  </si>
  <si>
    <t>artificial intelligence (ai) and data ethics, compliance, data, design development deployment, drive, engages, frameworks leads high, high, initiatives defines governance, level, recommended practices develops, skills, strategic ethical frameworks, support the organisation</t>
  </si>
  <si>
    <t>advice, areas, audit, audit objectives presents, based, cross functional, delivering independent risk, develop, management, methods, organisation plans organises, plans, risk, scope, specific audit</t>
  </si>
  <si>
    <t>areas, defining, plans, plans systematic corrective, quality improvement, quality management, recognised models identifies, strategy business, working practices typically</t>
  </si>
  <si>
    <t>adopting, assesses risks ensuring, business, change control processes, definition approach facilitation, full, governance to specific, medium, needed, occur, product quality reviews, project management, satisfactory, scale, tools manages change</t>
  </si>
  <si>
    <t>backlog manages elements, develops product roadmaps, inception through growth, lifecycle, maturity, opinion, opportunities facilitates uptake, product management, requirements and develops, research feedback expert, rolls, uptake, user</t>
  </si>
  <si>
    <t>champions the importance, design lifecycle models, development programmes, drives, large, leads, meet, programmes develops effective, requiring, system design champions, systems design</t>
  </si>
  <si>
    <t>adapts software design, components, design methods tools, established standards, functional quality security, large or complex, major, management, requirements ensuring adherence, software design, specifies</t>
  </si>
  <si>
    <t>adherence, criteria, designing communication networks, ensuring scalability reliability, major aspects, meet business requirements, network design, organisational policies standards, produces network design, security</t>
  </si>
  <si>
    <t>adopts, construction activities adopts, deliver, developing software components, including, programming/software development, project, software security contributes, stages, stakeholders takes technical, team, technical responsibility</t>
  </si>
  <si>
    <t>advises on transformation, control, data, data management, data management processes, implements data handling, maintains and implements, multiple sources advises, plans, procedures enables data, specific, subsets</t>
  </si>
  <si>
    <t>availability while meeting, data, database design, database management systems, design, expert, performance and availability, policies optimise transactional, systems for performance, warehouse products services</t>
  </si>
  <si>
    <t>capabilities to transform, communicating insights, cross, data, data analytics, data science capabilities, driven decision making, evaluation and adoption, functional enterprise wide, insights from structured, leads, performance, review, unstructured data directs, wide</t>
  </si>
  <si>
    <t>applying, complex data science, data, data science, data science techniques, drive decision making, insights, large, leads, mathematics statistics data, mining and predictive, tools</t>
  </si>
  <si>
    <t>accuracy and adaptability, advice, complex high, data, development and implementation, end, expert, goals, high impact business, improving performance accuracy, infrastructure for machine, learn, machine learning, machine learning development, mlops, selects tools frameworks</t>
  </si>
  <si>
    <t>application of data, data engineering, data engineering solutions, monitoring data pipelines, processing, real time, standards, systems for scalable</t>
  </si>
  <si>
    <t>applicable, content, data, data visualisation, data visuals operationalises, displaying concepts ideas, guide, ideas, key, making, processes and enhance, techniques</t>
  </si>
  <si>
    <t>cross functional teams, diverse, ensure swift recovery, external partners makes, high, impacts and quickly, incident management, major, major incidents coordinating, minimise negative impacts, range, shapes</t>
  </si>
  <si>
    <t>coordinates the implementation, fully, managing, occurred, preventative measures analyses, problem management, problem solutions coordinates, service, systems enables development,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</si>
</sst>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2" fontId="0" fillId="0" borderId="0" xfId="0" applyNumberFormat="1"/>
    <xf numFmtId="0" fontId="0" fillId="2" borderId="0" xfId="0" applyFill="1"/>
    <xf numFmtId="166"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L11" sqref="L11"/>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29</v>
      </c>
      <c r="C2" t="s">
        <v>49</v>
      </c>
      <c r="D2">
        <v>1</v>
      </c>
      <c r="E2">
        <v>12</v>
      </c>
      <c r="F2">
        <v>21</v>
      </c>
      <c r="G2" s="2">
        <v>7.6923076923076927E-2</v>
      </c>
      <c r="H2" s="2">
        <v>4.5454545454545463E-2</v>
      </c>
      <c r="I2" s="2">
        <v>5.7142857142857148E-2</v>
      </c>
    </row>
    <row r="3" spans="1:9" x14ac:dyDescent="0.3">
      <c r="A3" t="s">
        <v>10</v>
      </c>
      <c r="B3" t="s">
        <v>30</v>
      </c>
      <c r="C3" t="s">
        <v>50</v>
      </c>
      <c r="D3">
        <v>3</v>
      </c>
      <c r="E3">
        <v>6</v>
      </c>
      <c r="F3">
        <v>8</v>
      </c>
      <c r="G3" s="2">
        <v>0.33333333333333331</v>
      </c>
      <c r="H3" s="2">
        <v>0.27272727272727271</v>
      </c>
      <c r="I3" s="2">
        <v>0.3</v>
      </c>
    </row>
    <row r="4" spans="1:9" x14ac:dyDescent="0.3">
      <c r="A4" t="s">
        <v>11</v>
      </c>
      <c r="B4" t="s">
        <v>31</v>
      </c>
      <c r="C4" t="s">
        <v>51</v>
      </c>
      <c r="D4">
        <v>3</v>
      </c>
      <c r="E4">
        <v>8</v>
      </c>
      <c r="F4">
        <v>10</v>
      </c>
      <c r="G4" s="2">
        <v>0.27272727272727271</v>
      </c>
      <c r="H4" s="2">
        <v>0.23076923076923081</v>
      </c>
      <c r="I4" s="2">
        <v>0.24999999999999989</v>
      </c>
    </row>
    <row r="5" spans="1:9" x14ac:dyDescent="0.3">
      <c r="A5" t="s">
        <v>12</v>
      </c>
      <c r="B5" t="s">
        <v>32</v>
      </c>
      <c r="C5" t="s">
        <v>52</v>
      </c>
      <c r="D5">
        <v>2</v>
      </c>
      <c r="E5">
        <v>9</v>
      </c>
      <c r="F5">
        <v>15</v>
      </c>
      <c r="G5" s="2">
        <v>0.1818181818181818</v>
      </c>
      <c r="H5" s="2">
        <v>0.1176470588235294</v>
      </c>
      <c r="I5" s="2">
        <v>0.14285714285714279</v>
      </c>
    </row>
    <row r="6" spans="1:9" x14ac:dyDescent="0.3">
      <c r="A6" t="s">
        <v>13</v>
      </c>
      <c r="B6" t="s">
        <v>33</v>
      </c>
      <c r="C6" t="s">
        <v>53</v>
      </c>
      <c r="D6">
        <v>1</v>
      </c>
      <c r="E6">
        <v>10</v>
      </c>
      <c r="F6">
        <v>15</v>
      </c>
      <c r="G6" s="2">
        <v>9.0909090909090912E-2</v>
      </c>
      <c r="H6" s="2">
        <v>6.25E-2</v>
      </c>
      <c r="I6" s="2">
        <v>7.407407407407407E-2</v>
      </c>
    </row>
    <row r="7" spans="1:9" x14ac:dyDescent="0.3">
      <c r="A7" t="s">
        <v>14</v>
      </c>
      <c r="B7" t="s">
        <v>34</v>
      </c>
      <c r="C7" t="s">
        <v>54</v>
      </c>
      <c r="D7">
        <v>1</v>
      </c>
      <c r="E7">
        <v>17</v>
      </c>
      <c r="F7">
        <v>22</v>
      </c>
      <c r="G7" s="2">
        <v>5.5555555555555552E-2</v>
      </c>
      <c r="H7" s="2">
        <v>4.3478260869565223E-2</v>
      </c>
      <c r="I7" s="2">
        <v>4.878048780487805E-2</v>
      </c>
    </row>
    <row r="8" spans="1:9" x14ac:dyDescent="0.3">
      <c r="A8" t="s">
        <v>15</v>
      </c>
      <c r="B8" t="s">
        <v>35</v>
      </c>
      <c r="C8" t="s">
        <v>55</v>
      </c>
      <c r="D8">
        <v>0</v>
      </c>
      <c r="E8">
        <v>14</v>
      </c>
      <c r="F8">
        <v>16</v>
      </c>
      <c r="G8" s="2">
        <v>0</v>
      </c>
      <c r="H8" s="2">
        <v>0</v>
      </c>
      <c r="I8" s="2">
        <v>0</v>
      </c>
    </row>
    <row r="9" spans="1:9" x14ac:dyDescent="0.3">
      <c r="A9" t="s">
        <v>16</v>
      </c>
      <c r="B9" t="s">
        <v>36</v>
      </c>
      <c r="C9" t="s">
        <v>56</v>
      </c>
      <c r="D9">
        <v>1</v>
      </c>
      <c r="E9">
        <v>9</v>
      </c>
      <c r="F9">
        <v>8</v>
      </c>
      <c r="G9" s="2">
        <v>0.1</v>
      </c>
      <c r="H9" s="2">
        <v>0.1111111111111111</v>
      </c>
      <c r="I9" s="2">
        <v>0.10526315789473691</v>
      </c>
    </row>
    <row r="10" spans="1:9" x14ac:dyDescent="0.3">
      <c r="A10" t="s">
        <v>17</v>
      </c>
      <c r="B10" t="s">
        <v>37</v>
      </c>
      <c r="C10" t="s">
        <v>57</v>
      </c>
      <c r="D10">
        <v>1</v>
      </c>
      <c r="E10">
        <v>8</v>
      </c>
      <c r="F10">
        <v>14</v>
      </c>
      <c r="G10" s="2">
        <v>0.1111111111111111</v>
      </c>
      <c r="H10" s="2">
        <v>6.6666666666666666E-2</v>
      </c>
      <c r="I10" s="2">
        <v>8.3333333333333343E-2</v>
      </c>
    </row>
    <row r="11" spans="1:9" x14ac:dyDescent="0.3">
      <c r="A11" t="s">
        <v>18</v>
      </c>
      <c r="B11" t="s">
        <v>38</v>
      </c>
      <c r="C11" t="s">
        <v>58</v>
      </c>
      <c r="D11">
        <v>2</v>
      </c>
      <c r="E11">
        <v>8</v>
      </c>
      <c r="F11">
        <v>14</v>
      </c>
      <c r="G11" s="2">
        <v>0.2</v>
      </c>
      <c r="H11" s="2">
        <v>0.125</v>
      </c>
      <c r="I11" s="2">
        <v>0.15384615384615391</v>
      </c>
    </row>
    <row r="12" spans="1:9" x14ac:dyDescent="0.3">
      <c r="A12" t="s">
        <v>19</v>
      </c>
      <c r="B12" t="s">
        <v>39</v>
      </c>
      <c r="C12" t="s">
        <v>59</v>
      </c>
      <c r="D12">
        <v>1</v>
      </c>
      <c r="E12">
        <v>9</v>
      </c>
      <c r="F12">
        <v>10</v>
      </c>
      <c r="G12" s="2">
        <v>0.1</v>
      </c>
      <c r="H12" s="2">
        <v>9.0909090909090912E-2</v>
      </c>
      <c r="I12" s="2">
        <v>9.5238095238095247E-2</v>
      </c>
    </row>
    <row r="13" spans="1:9" x14ac:dyDescent="0.3">
      <c r="A13" t="s">
        <v>20</v>
      </c>
      <c r="B13" t="s">
        <v>40</v>
      </c>
      <c r="C13" t="s">
        <v>60</v>
      </c>
      <c r="D13">
        <v>1</v>
      </c>
      <c r="E13">
        <v>6</v>
      </c>
      <c r="F13">
        <v>5</v>
      </c>
      <c r="G13" s="2">
        <v>0.14285714285714279</v>
      </c>
      <c r="H13" s="2">
        <v>0.16666666666666671</v>
      </c>
      <c r="I13" s="2">
        <v>0.1538461538461538</v>
      </c>
    </row>
    <row r="14" spans="1:9" x14ac:dyDescent="0.3">
      <c r="A14" t="s">
        <v>21</v>
      </c>
      <c r="B14" t="s">
        <v>41</v>
      </c>
      <c r="C14" t="s">
        <v>61</v>
      </c>
      <c r="D14">
        <v>1</v>
      </c>
      <c r="E14">
        <v>14</v>
      </c>
      <c r="F14">
        <v>15</v>
      </c>
      <c r="G14" s="2">
        <v>6.6666666666666666E-2</v>
      </c>
      <c r="H14" s="2">
        <v>6.25E-2</v>
      </c>
      <c r="I14" s="2">
        <v>6.4516129032258077E-2</v>
      </c>
    </row>
    <row r="15" spans="1:9" x14ac:dyDescent="0.3">
      <c r="A15" t="s">
        <v>22</v>
      </c>
      <c r="B15" t="s">
        <v>42</v>
      </c>
      <c r="C15" t="s">
        <v>62</v>
      </c>
      <c r="D15">
        <v>2</v>
      </c>
      <c r="E15">
        <v>11</v>
      </c>
      <c r="F15">
        <v>9</v>
      </c>
      <c r="G15" s="2">
        <v>0.15384615384615391</v>
      </c>
      <c r="H15" s="2">
        <v>0.1818181818181818</v>
      </c>
      <c r="I15" s="2">
        <v>0.16666666666666671</v>
      </c>
    </row>
    <row r="16" spans="1:9" x14ac:dyDescent="0.3">
      <c r="A16" t="s">
        <v>23</v>
      </c>
      <c r="B16" t="s">
        <v>43</v>
      </c>
      <c r="C16" t="s">
        <v>63</v>
      </c>
      <c r="D16">
        <v>0</v>
      </c>
      <c r="E16">
        <v>8</v>
      </c>
      <c r="F16">
        <v>6</v>
      </c>
      <c r="G16" s="2">
        <v>0</v>
      </c>
      <c r="H16" s="2">
        <v>0</v>
      </c>
      <c r="I16" s="2">
        <v>0</v>
      </c>
    </row>
    <row r="17" spans="1:9" x14ac:dyDescent="0.3">
      <c r="A17" t="s">
        <v>24</v>
      </c>
      <c r="B17" t="s">
        <v>44</v>
      </c>
      <c r="C17" t="s">
        <v>64</v>
      </c>
      <c r="D17">
        <v>0</v>
      </c>
      <c r="E17">
        <v>9</v>
      </c>
      <c r="F17">
        <v>11</v>
      </c>
      <c r="G17" s="2">
        <v>0</v>
      </c>
      <c r="H17" s="2">
        <v>0</v>
      </c>
      <c r="I17" s="2">
        <v>0</v>
      </c>
    </row>
    <row r="18" spans="1:9" x14ac:dyDescent="0.3">
      <c r="A18" t="s">
        <v>25</v>
      </c>
      <c r="B18" t="s">
        <v>45</v>
      </c>
      <c r="C18" t="s">
        <v>65</v>
      </c>
      <c r="D18">
        <v>2</v>
      </c>
      <c r="E18">
        <v>8</v>
      </c>
      <c r="F18">
        <v>7</v>
      </c>
      <c r="G18" s="2">
        <v>0.2</v>
      </c>
      <c r="H18" s="2">
        <v>0.22222222222222221</v>
      </c>
      <c r="I18" s="2">
        <v>0.2105263157894737</v>
      </c>
    </row>
    <row r="19" spans="1:9" x14ac:dyDescent="0.3">
      <c r="A19" t="s">
        <v>26</v>
      </c>
      <c r="B19" t="s">
        <v>46</v>
      </c>
      <c r="C19" t="s">
        <v>66</v>
      </c>
      <c r="D19">
        <v>0</v>
      </c>
      <c r="E19">
        <v>10</v>
      </c>
      <c r="F19">
        <v>14</v>
      </c>
      <c r="G19" s="2">
        <v>0</v>
      </c>
      <c r="H19" s="2">
        <v>0</v>
      </c>
      <c r="I19" s="2">
        <v>0</v>
      </c>
    </row>
    <row r="20" spans="1:9" x14ac:dyDescent="0.3">
      <c r="A20" t="s">
        <v>27</v>
      </c>
      <c r="B20" t="s">
        <v>47</v>
      </c>
      <c r="C20" t="s">
        <v>67</v>
      </c>
      <c r="D20">
        <v>0</v>
      </c>
      <c r="E20">
        <v>8</v>
      </c>
      <c r="F20">
        <v>10</v>
      </c>
      <c r="G20" s="2">
        <v>0</v>
      </c>
      <c r="H20" s="2">
        <v>0</v>
      </c>
      <c r="I20" s="2">
        <v>0</v>
      </c>
    </row>
    <row r="21" spans="1:9" x14ac:dyDescent="0.3">
      <c r="A21" t="s">
        <v>28</v>
      </c>
      <c r="B21" t="s">
        <v>48</v>
      </c>
      <c r="C21" t="s">
        <v>68</v>
      </c>
      <c r="D21">
        <v>2</v>
      </c>
      <c r="E21">
        <v>9</v>
      </c>
      <c r="F21">
        <v>16</v>
      </c>
      <c r="G21" s="2">
        <v>0.1818181818181818</v>
      </c>
      <c r="H21" s="2">
        <v>0.1111111111111111</v>
      </c>
      <c r="I21" s="2">
        <v>0.13793103448275859</v>
      </c>
    </row>
    <row r="22" spans="1:9" x14ac:dyDescent="0.3">
      <c r="D22" s="3">
        <f>SUM(D2:D21)</f>
        <v>24</v>
      </c>
      <c r="E22" s="3">
        <f t="shared" ref="E22:F22" si="0">SUM(E2:E21)</f>
        <v>193</v>
      </c>
      <c r="F22" s="3">
        <f t="shared" si="0"/>
        <v>246</v>
      </c>
      <c r="G22" s="4">
        <f>AVERAGE(G2:G21)</f>
        <v>0.11337828837828838</v>
      </c>
      <c r="H22" s="4">
        <f t="shared" ref="H22:I22" si="1">AVERAGE(H2:H21)</f>
        <v>9.5529070957459702E-2</v>
      </c>
      <c r="I22" s="4">
        <f t="shared" si="1"/>
        <v>0.10220108010042912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workbookViewId="0">
      <selection activeCell="K10" sqref="K10"/>
    </sheetView>
  </sheetViews>
  <sheetFormatPr defaultRowHeight="14.4" x14ac:dyDescent="0.3"/>
  <sheetData>
    <row r="1" spans="1:9" x14ac:dyDescent="0.3">
      <c r="A1" s="1" t="s">
        <v>69</v>
      </c>
      <c r="B1" s="1" t="s">
        <v>1</v>
      </c>
      <c r="C1" s="1" t="s">
        <v>2</v>
      </c>
      <c r="D1" s="1" t="s">
        <v>3</v>
      </c>
      <c r="E1" s="1" t="s">
        <v>4</v>
      </c>
      <c r="F1" s="1" t="s">
        <v>5</v>
      </c>
      <c r="G1" s="1" t="s">
        <v>6</v>
      </c>
      <c r="H1" s="1" t="s">
        <v>7</v>
      </c>
      <c r="I1" s="1" t="s">
        <v>8</v>
      </c>
    </row>
    <row r="2" spans="1:9" x14ac:dyDescent="0.3">
      <c r="A2" t="s">
        <v>70</v>
      </c>
      <c r="B2" t="s">
        <v>90</v>
      </c>
      <c r="C2" t="s">
        <v>110</v>
      </c>
      <c r="D2">
        <v>2</v>
      </c>
      <c r="E2">
        <v>8</v>
      </c>
      <c r="F2">
        <v>9</v>
      </c>
      <c r="G2" s="2">
        <v>0.2</v>
      </c>
      <c r="H2" s="2">
        <v>0.1818181818181818</v>
      </c>
      <c r="I2" s="2">
        <v>0.19047619047619049</v>
      </c>
    </row>
    <row r="3" spans="1:9" x14ac:dyDescent="0.3">
      <c r="A3" t="s">
        <v>71</v>
      </c>
      <c r="B3" t="s">
        <v>91</v>
      </c>
      <c r="C3" t="s">
        <v>111</v>
      </c>
      <c r="D3">
        <v>2</v>
      </c>
      <c r="E3">
        <v>6</v>
      </c>
      <c r="F3">
        <v>7</v>
      </c>
      <c r="G3" s="2">
        <v>0.25</v>
      </c>
      <c r="H3" s="2">
        <v>0.22222222222222221</v>
      </c>
      <c r="I3" s="2">
        <v>0.23529411764705879</v>
      </c>
    </row>
    <row r="4" spans="1:9" x14ac:dyDescent="0.3">
      <c r="A4" t="s">
        <v>72</v>
      </c>
      <c r="B4" t="s">
        <v>92</v>
      </c>
      <c r="C4" t="s">
        <v>112</v>
      </c>
      <c r="D4">
        <v>1</v>
      </c>
      <c r="E4">
        <v>13</v>
      </c>
      <c r="F4">
        <v>7</v>
      </c>
      <c r="G4" s="2">
        <v>7.1428571428571425E-2</v>
      </c>
      <c r="H4" s="2">
        <v>0.125</v>
      </c>
      <c r="I4" s="2">
        <v>9.0909090909090912E-2</v>
      </c>
    </row>
    <row r="5" spans="1:9" x14ac:dyDescent="0.3">
      <c r="A5" t="s">
        <v>73</v>
      </c>
      <c r="B5" t="s">
        <v>93</v>
      </c>
      <c r="C5" t="s">
        <v>113</v>
      </c>
      <c r="D5">
        <v>4</v>
      </c>
      <c r="E5">
        <v>11</v>
      </c>
      <c r="F5">
        <v>11</v>
      </c>
      <c r="G5" s="2">
        <v>0.26666666666666672</v>
      </c>
      <c r="H5" s="2">
        <v>0.26666666666666672</v>
      </c>
      <c r="I5" s="2">
        <v>0.26666666666666672</v>
      </c>
    </row>
    <row r="6" spans="1:9" x14ac:dyDescent="0.3">
      <c r="A6" t="s">
        <v>74</v>
      </c>
      <c r="B6" t="s">
        <v>94</v>
      </c>
      <c r="C6" t="s">
        <v>114</v>
      </c>
      <c r="D6">
        <v>4</v>
      </c>
      <c r="E6">
        <v>5</v>
      </c>
      <c r="F6">
        <v>7</v>
      </c>
      <c r="G6" s="2">
        <v>0.44444444444444442</v>
      </c>
      <c r="H6" s="2">
        <v>0.36363636363636359</v>
      </c>
      <c r="I6" s="2">
        <v>0.4</v>
      </c>
    </row>
    <row r="7" spans="1:9" x14ac:dyDescent="0.3">
      <c r="A7" t="s">
        <v>75</v>
      </c>
      <c r="B7" t="s">
        <v>95</v>
      </c>
      <c r="C7" t="s">
        <v>115</v>
      </c>
      <c r="D7">
        <v>2</v>
      </c>
      <c r="E7">
        <v>13</v>
      </c>
      <c r="F7">
        <v>17</v>
      </c>
      <c r="G7" s="2">
        <v>0.1333333333333333</v>
      </c>
      <c r="H7" s="2">
        <v>0.10526315789473679</v>
      </c>
      <c r="I7" s="2">
        <v>0.1176470588235294</v>
      </c>
    </row>
    <row r="8" spans="1:9" x14ac:dyDescent="0.3">
      <c r="A8" t="s">
        <v>76</v>
      </c>
      <c r="B8" t="s">
        <v>96</v>
      </c>
      <c r="C8" t="s">
        <v>116</v>
      </c>
      <c r="D8">
        <v>1</v>
      </c>
      <c r="E8">
        <v>12</v>
      </c>
      <c r="F8">
        <v>7</v>
      </c>
      <c r="G8" s="2">
        <v>7.6923076923076927E-2</v>
      </c>
      <c r="H8" s="2">
        <v>0.125</v>
      </c>
      <c r="I8" s="2">
        <v>9.5238095238095247E-2</v>
      </c>
    </row>
    <row r="9" spans="1:9" x14ac:dyDescent="0.3">
      <c r="A9" t="s">
        <v>77</v>
      </c>
      <c r="B9" t="s">
        <v>97</v>
      </c>
      <c r="C9" t="s">
        <v>117</v>
      </c>
      <c r="D9">
        <v>1</v>
      </c>
      <c r="E9">
        <v>10</v>
      </c>
      <c r="F9">
        <v>9</v>
      </c>
      <c r="G9" s="2">
        <v>9.0909090909090912E-2</v>
      </c>
      <c r="H9" s="2">
        <v>0.1</v>
      </c>
      <c r="I9" s="2">
        <v>9.5238095238095247E-2</v>
      </c>
    </row>
    <row r="10" spans="1:9" x14ac:dyDescent="0.3">
      <c r="A10" t="s">
        <v>78</v>
      </c>
      <c r="B10" t="s">
        <v>98</v>
      </c>
      <c r="C10" t="s">
        <v>118</v>
      </c>
      <c r="D10">
        <v>1</v>
      </c>
      <c r="E10">
        <v>10</v>
      </c>
      <c r="F10">
        <v>12</v>
      </c>
      <c r="G10" s="2">
        <v>9.0909090909090912E-2</v>
      </c>
      <c r="H10" s="2">
        <v>7.6923076923076927E-2</v>
      </c>
      <c r="I10" s="2">
        <v>8.3333333333333343E-2</v>
      </c>
    </row>
    <row r="11" spans="1:9" x14ac:dyDescent="0.3">
      <c r="A11" t="s">
        <v>79</v>
      </c>
      <c r="B11" t="s">
        <v>99</v>
      </c>
      <c r="C11" t="s">
        <v>119</v>
      </c>
      <c r="D11">
        <v>1</v>
      </c>
      <c r="E11">
        <v>9</v>
      </c>
      <c r="F11">
        <v>8</v>
      </c>
      <c r="G11" s="2">
        <v>0.1</v>
      </c>
      <c r="H11" s="2">
        <v>0.1111111111111111</v>
      </c>
      <c r="I11" s="2">
        <v>0.10526315789473691</v>
      </c>
    </row>
    <row r="12" spans="1:9" x14ac:dyDescent="0.3">
      <c r="A12" t="s">
        <v>80</v>
      </c>
      <c r="B12" t="s">
        <v>100</v>
      </c>
      <c r="C12" t="s">
        <v>120</v>
      </c>
      <c r="D12">
        <v>2</v>
      </c>
      <c r="E12">
        <v>10</v>
      </c>
      <c r="F12">
        <v>12</v>
      </c>
      <c r="G12" s="2">
        <v>0.16666666666666671</v>
      </c>
      <c r="H12" s="2">
        <v>0.14285714285714279</v>
      </c>
      <c r="I12" s="2">
        <v>0.1538461538461538</v>
      </c>
    </row>
    <row r="13" spans="1:9" x14ac:dyDescent="0.3">
      <c r="A13" t="s">
        <v>81</v>
      </c>
      <c r="B13" t="s">
        <v>101</v>
      </c>
      <c r="C13" t="s">
        <v>121</v>
      </c>
      <c r="D13">
        <v>3</v>
      </c>
      <c r="E13">
        <v>9</v>
      </c>
      <c r="F13">
        <v>8</v>
      </c>
      <c r="G13" s="2">
        <v>0.25</v>
      </c>
      <c r="H13" s="2">
        <v>0.27272727272727271</v>
      </c>
      <c r="I13" s="2">
        <v>0.2608695652173913</v>
      </c>
    </row>
    <row r="14" spans="1:9" x14ac:dyDescent="0.3">
      <c r="A14" t="s">
        <v>82</v>
      </c>
      <c r="B14" t="s">
        <v>102</v>
      </c>
      <c r="C14" t="s">
        <v>122</v>
      </c>
      <c r="D14">
        <v>1</v>
      </c>
      <c r="E14">
        <v>9</v>
      </c>
      <c r="F14">
        <v>16</v>
      </c>
      <c r="G14" s="2">
        <v>0.1</v>
      </c>
      <c r="H14" s="2">
        <v>5.8823529411764712E-2</v>
      </c>
      <c r="I14" s="2">
        <v>7.4074074074074084E-2</v>
      </c>
    </row>
    <row r="15" spans="1:9" x14ac:dyDescent="0.3">
      <c r="A15" t="s">
        <v>83</v>
      </c>
      <c r="B15" t="s">
        <v>103</v>
      </c>
      <c r="C15" t="s">
        <v>123</v>
      </c>
      <c r="D15">
        <v>1</v>
      </c>
      <c r="E15">
        <v>14</v>
      </c>
      <c r="F15">
        <v>13</v>
      </c>
      <c r="G15" s="2">
        <v>6.6666666666666666E-2</v>
      </c>
      <c r="H15" s="2">
        <v>7.1428571428571425E-2</v>
      </c>
      <c r="I15" s="2">
        <v>6.8965517241379296E-2</v>
      </c>
    </row>
    <row r="16" spans="1:9" x14ac:dyDescent="0.3">
      <c r="A16" t="s">
        <v>84</v>
      </c>
      <c r="B16" t="s">
        <v>104</v>
      </c>
      <c r="C16" t="s">
        <v>124</v>
      </c>
      <c r="D16">
        <v>2</v>
      </c>
      <c r="E16">
        <v>10</v>
      </c>
      <c r="F16">
        <v>11</v>
      </c>
      <c r="G16" s="2">
        <v>0.16666666666666671</v>
      </c>
      <c r="H16" s="2">
        <v>0.15384615384615391</v>
      </c>
      <c r="I16" s="2">
        <v>0.16</v>
      </c>
    </row>
    <row r="17" spans="1:9" x14ac:dyDescent="0.3">
      <c r="A17" t="s">
        <v>85</v>
      </c>
      <c r="B17" t="s">
        <v>105</v>
      </c>
      <c r="C17" t="s">
        <v>125</v>
      </c>
      <c r="D17">
        <v>2</v>
      </c>
      <c r="E17">
        <v>14</v>
      </c>
      <c r="F17">
        <v>11</v>
      </c>
      <c r="G17" s="2">
        <v>0.125</v>
      </c>
      <c r="H17" s="2">
        <v>0.15384615384615391</v>
      </c>
      <c r="I17" s="2">
        <v>0.13793103448275859</v>
      </c>
    </row>
    <row r="18" spans="1:9" x14ac:dyDescent="0.3">
      <c r="A18" t="s">
        <v>86</v>
      </c>
      <c r="B18" t="s">
        <v>106</v>
      </c>
      <c r="C18" t="s">
        <v>126</v>
      </c>
      <c r="D18">
        <v>2</v>
      </c>
      <c r="E18">
        <v>6</v>
      </c>
      <c r="F18">
        <v>14</v>
      </c>
      <c r="G18" s="2">
        <v>0.25</v>
      </c>
      <c r="H18" s="2">
        <v>0.125</v>
      </c>
      <c r="I18" s="2">
        <v>0.16666666666666671</v>
      </c>
    </row>
    <row r="19" spans="1:9" x14ac:dyDescent="0.3">
      <c r="A19" t="s">
        <v>87</v>
      </c>
      <c r="B19" t="s">
        <v>107</v>
      </c>
      <c r="C19" t="s">
        <v>127</v>
      </c>
      <c r="D19">
        <v>1</v>
      </c>
      <c r="E19">
        <v>11</v>
      </c>
      <c r="F19">
        <v>7</v>
      </c>
      <c r="G19" s="2">
        <v>8.3333333333333329E-2</v>
      </c>
      <c r="H19" s="2">
        <v>0.125</v>
      </c>
      <c r="I19" s="2">
        <v>0.1</v>
      </c>
    </row>
    <row r="20" spans="1:9" x14ac:dyDescent="0.3">
      <c r="A20" t="s">
        <v>88</v>
      </c>
      <c r="B20" t="s">
        <v>108</v>
      </c>
      <c r="C20" t="s">
        <v>128</v>
      </c>
      <c r="D20">
        <v>2</v>
      </c>
      <c r="E20">
        <v>10</v>
      </c>
      <c r="F20">
        <v>9</v>
      </c>
      <c r="G20" s="2">
        <v>0.16666666666666671</v>
      </c>
      <c r="H20" s="2">
        <v>0.1818181818181818</v>
      </c>
      <c r="I20" s="2">
        <v>0.17391304347826089</v>
      </c>
    </row>
    <row r="21" spans="1:9" x14ac:dyDescent="0.3">
      <c r="A21" t="s">
        <v>89</v>
      </c>
      <c r="B21" t="s">
        <v>109</v>
      </c>
      <c r="C21" t="s">
        <v>129</v>
      </c>
      <c r="D21">
        <v>2</v>
      </c>
      <c r="E21">
        <v>8</v>
      </c>
      <c r="F21">
        <v>5</v>
      </c>
      <c r="G21" s="2">
        <v>0.2</v>
      </c>
      <c r="H21" s="2">
        <v>0.2857142857142857</v>
      </c>
      <c r="I21" s="2">
        <v>0.23529411764705879</v>
      </c>
    </row>
    <row r="22" spans="1:9" x14ac:dyDescent="0.3">
      <c r="D22" s="3">
        <f>SUM(D2:D21)</f>
        <v>37</v>
      </c>
      <c r="E22" s="3">
        <f t="shared" ref="E22:F22" si="0">SUM(E2:E21)</f>
        <v>198</v>
      </c>
      <c r="F22" s="3">
        <f t="shared" si="0"/>
        <v>200</v>
      </c>
      <c r="G22" s="4">
        <f>AVERAGE(G2:G21)</f>
        <v>0.16498071373071374</v>
      </c>
      <c r="H22" s="4">
        <f t="shared" ref="H22:I22" si="1">AVERAGE(H2:H21)</f>
        <v>0.16243510359609428</v>
      </c>
      <c r="I22" s="4">
        <f t="shared" si="1"/>
        <v>0.16058129894402701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CLO</vt:lpstr>
      <vt:lpstr>Hasil 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2026-03-13T07:19:02Z</dcterms:created>
  <dcterms:modified xsi:type="dcterms:W3CDTF">2026-03-13T07:27:58Z</dcterms:modified>
</cp:coreProperties>
</file>