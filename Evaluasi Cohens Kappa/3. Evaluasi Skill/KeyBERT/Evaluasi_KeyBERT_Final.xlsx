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3. Evaluasi Skill\KeyBERT\"/>
    </mc:Choice>
  </mc:AlternateContent>
  <xr:revisionPtr revIDLastSave="0" documentId="13_ncr:1_{A1664D81-D888-4199-9BAC-5AD8E4921ECB}" xr6:coauthVersionLast="45" xr6:coauthVersionMax="45" xr10:uidLastSave="{00000000-0000-0000-0000-000000000000}"/>
  <bookViews>
    <workbookView xWindow="-108" yWindow="-108" windowWidth="23256" windowHeight="12456" activeTab="1" xr2:uid="{00000000-000D-0000-FFFF-FFFF00000000}"/>
  </bookViews>
  <sheets>
    <sheet name="Hasil CLO" sheetId="1" r:id="rId1"/>
    <sheet name="Hasil SFIA" sheetId="2" r:id="rId2"/>
  </sheets>
  <calcPr calcId="191029"/>
</workbook>
</file>

<file path=xl/calcChain.xml><?xml version="1.0" encoding="utf-8"?>
<calcChain xmlns="http://schemas.openxmlformats.org/spreadsheetml/2006/main">
  <c r="I22" i="2" l="1"/>
  <c r="H22" i="2"/>
  <c r="G22" i="2"/>
  <c r="F22" i="2"/>
  <c r="E22" i="2"/>
  <c r="D22" i="2"/>
  <c r="I22" i="1"/>
  <c r="H22" i="1"/>
  <c r="G22" i="1"/>
  <c r="F22" i="1"/>
  <c r="E22" i="1"/>
  <c r="D22" i="1"/>
</calcChain>
</file>

<file path=xl/sharedStrings.xml><?xml version="1.0" encoding="utf-8"?>
<sst xmlns="http://schemas.openxmlformats.org/spreadsheetml/2006/main" count="138" uniqueCount="130">
  <si>
    <t>Nama Mata Kuliah</t>
  </si>
  <si>
    <t>Ground Truth</t>
  </si>
  <si>
    <t>System Skills</t>
  </si>
  <si>
    <t>TP</t>
  </si>
  <si>
    <t>FP</t>
  </si>
  <si>
    <t>FN</t>
  </si>
  <si>
    <t>Precision</t>
  </si>
  <si>
    <t>Recall</t>
  </si>
  <si>
    <t>F1-Score</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</si>
  <si>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</si>
  <si>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</si>
  <si>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</si>
  <si>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</si>
  <si>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</si>
  <si>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</si>
  <si>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</si>
  <si>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</si>
  <si>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</si>
  <si>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</si>
  <si>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</si>
  <si>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</si>
  <si>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</si>
  <si>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</si>
  <si>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</si>
  <si>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</si>
  <si>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</si>
  <si>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</si>
  <si>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</si>
  <si>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</si>
  <si>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business intelligence, data sources, decision making, electronic, electronic business system, electronic business systems, electronic trading systems, hardware components, information system architecture, information systems, information technology, infrastructure, infrastructure management, it solutions, management, networks, security and ethical, software components, system architecture, system implementation, systems business, telecommunications</t>
  </si>
  <si>
    <t>algorithms, conditional if, flowcharts, for loops looping, java, programming, programming languages, python, recursive function, variable and operators, while function</t>
  </si>
  <si>
    <t>algorithms, arithmetic operators, flowcharts, functions, java, logical operators, programming, programming language, programming languages, python, recursive, variable, while loop</t>
  </si>
  <si>
    <t>calculating, cluster analysis, component analysis, correspondence analysis, data center, data description, data set, data sets, data visualization, identifying, interpreting, measuring, normalization, principal component analysis, probability, sampling, summarize</t>
  </si>
  <si>
    <t>business process, business process analysis, business process model, business processes, finance, government, human resource, identify, manufacturing, marketing, process analysis, process design, process model, production marketing, reengineering, resource marketing</t>
  </si>
  <si>
    <t>calculus, data definition language, data manipulation, data manipulation language, data model, data modelling, data type, database, database design, database development, database management system, database model, dbms, design databases, entity relationship, indexing, management system, normalization, relational database, relational model, sql, storage, volatile non volatile</t>
  </si>
  <si>
    <t>calculus, data definition language, data manipulation, data manipulation language, data model, data modelling, data type, database, database model, diagram, entity relationship, normalization, recursive, relational database, sql, volatile non volatile</t>
  </si>
  <si>
    <t>abstract class, constructor, destructor, exception handling, inheritance, operator overloading, polymorphism, programming, type conversion</t>
  </si>
  <si>
    <t>basic structure, computer system, file configuration, file system, functions process, java, java virtual machine, linux, management, memory management, operating system, process management, system development, virtual machine, windows</t>
  </si>
  <si>
    <t>analysis, data design, data flow diagram, design, design design, design information, design interface, information system, information systems, interface design, modeling language, object oriented, requirement specification, system development, system requirement, unified modeling language</t>
  </si>
  <si>
    <t>algorithms, analytics, artificial neural network, bayes classifier, decision trees, k mean cluster, k nearest neighbors, machine learn, machine learning, recommender system, support vector machine</t>
  </si>
  <si>
    <t>algorithms, data preprocessing, machine algorithms, machine learning, tools, transformation</t>
  </si>
  <si>
    <t>application layer, computer network, data link layer, dns, information technology, lan, local networks, network architecture, network computer, network layer, network service, routing protocols, subnetting, transport layer, wan, wider areas</t>
  </si>
  <si>
    <t>backend, css, frontend, html, information technology, javascript, oop, php framework, programming, programming concept, web programming</t>
  </si>
  <si>
    <t>darts, database access, flutter, mobile applications, programming, widgets</t>
  </si>
  <si>
    <t>collaborative tools, construction, data analysis, data gathering, design interaction, emotional interaction, interaction design, interface design, need analysis, presentation, prototyping</t>
  </si>
  <si>
    <t>collaborative tools, color, design interaction, design thinking, interaction, interaction design, interface design, usability, wireframes</t>
  </si>
  <si>
    <t>case, development software, documents software, information system, installation, integrated, practicum, project based, requirement management, software design, software development, software project, software testing, system development</t>
  </si>
  <si>
    <t>analysis, analysis cluster, analyze data, data analysis, data data, data data data, data exploration, data visualization, visualization, visualize</t>
  </si>
  <si>
    <t>application architecture, architecture framework, building blocks, business architecture, business strategy, data architecture, data architectures, diagrams, enterprise architecture, enterprise architecture framework, information system, modeling, modelling, planning, required business, requirements requirements, risk analysis, technology architecture</t>
  </si>
  <si>
    <t>components globalization role, discusses usability technology, information systems course, infrastructure electronic business, security ethical</t>
  </si>
  <si>
    <t>algorithms implement programming, languages k3 course, programming flowcharts, recursive functions java, variables conditional loops</t>
  </si>
  <si>
    <t>create algorithms, introduction flowcharts programming, operators conditionals loop, programming languages course, recursive implementation python</t>
  </si>
  <si>
    <t>central tendency calculating, continuous distributions sampling, data center variability, data data visualization, k2 course discusses</t>
  </si>
  <si>
    <t>business processes k3, discusses introduction business, organization human resource, processes company education, taking course students</t>
  </si>
  <si>
    <t>attributes relation, database course discusses, definition language ddl, designing er model, principles integrity security</t>
  </si>
  <si>
    <t>data type mandatory, ddl sql data, entity instance attribute, relational database models, study course discusses</t>
  </si>
  <si>
    <t>constructor destructor operator, k3 course discusses, object oriented programming, output stream, type conversion</t>
  </si>
  <si>
    <t>basic structure, computer operating systems, linux java virtual, management file file, needs k4 course</t>
  </si>
  <si>
    <t>data flow diagrams, design information systems, development method analysis, information requirements structured, participating course students</t>
  </si>
  <si>
    <t>analytics decision trees, clustering genetic algorithm, machine learning algorithms, neighbors knn na, participating course students</t>
  </si>
  <si>
    <t>course students, discusses introduction tools, preprocessing classification clustering, tools data transformation, use machine learning</t>
  </si>
  <si>
    <t>application dns mail, apply designing computer, development course, discusses computer network, layer ip netmask</t>
  </si>
  <si>
    <t>concepts theories rules, course discusses web, css javascript php, k3 course discusses, web programming concept</t>
  </si>
  <si>
    <t>develop mobile based, discusses introduction flutter, k3 course, programming darts, widgets database access</t>
  </si>
  <si>
    <t>design interaction designs, emotional interaction data, needs analysis, taking course students, tools course discusses</t>
  </si>
  <si>
    <t>color alignment use, course discusses use, design interaction designs, dialogue component, thinking usability guide</t>
  </si>
  <si>
    <t>create information development, documents software handover, implementation strategy monitoring, requirements management software, software development course</t>
  </si>
  <si>
    <t>analysis course discusses, exploration business data, introductory data visualization, multivariate, trees forests smoothing</t>
  </si>
  <si>
    <t>able use enterprise, business architecture preparation, modeling methods technology, requirements requirements, strategic information planning</t>
  </si>
  <si>
    <t>Skill -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</si>
  <si>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</si>
  <si>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</si>
  <si>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</si>
  <si>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</si>
  <si>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</si>
  <si>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</si>
  <si>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</si>
  <si>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</si>
  <si>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</si>
  <si>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</si>
  <si>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</si>
  <si>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</si>
  <si>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</si>
  <si>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</si>
  <si>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</si>
  <si>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</si>
  <si>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</si>
  <si>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</si>
  <si>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</si>
  <si>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</si>
  <si>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business strategy, enterprise information, execute, information security, operational plans, resources, security control, security controls, security management, security management strategies, security strategy</t>
  </si>
  <si>
    <t>communicating, delegate authority, execution, governance, managing risk, planning, resources, risk appetite, risk management</t>
  </si>
  <si>
    <t>allocates resources, artificial intelligence (ai) and data ethics, decision processes, governance, high level, industry, promoting, resources</t>
  </si>
  <si>
    <t>activities, audit, collaborates, control, cross functional, integrate, investigation, management, mechanisms, organisational policy, plans, presents, professionals, risk based, supply chain</t>
  </si>
  <si>
    <t>audits, corrective action, international standard, maintains compliance, management framework, plans, plans systematic, quality improvement, quality management, reduce errors, strategy business</t>
  </si>
  <si>
    <t>budgets, business priority, change control, collaboration, communicates, governance, leadership, management, manages change, monitors performance, performance metric, proactively, product quality, project management, project quality, risks, scale, timelines, tools manages</t>
  </si>
  <si>
    <t>backlog, customer user, developing content, managing, product lifecycle, product management, product requirement, user research</t>
  </si>
  <si>
    <t>activities, adoption, designing systems, development programme, develops system, organisational policy, system architecture, system design, system development, systems design</t>
  </si>
  <si>
    <t>adapts software, corrective action, decision making, design method, designing software, impact analysis, modules, prototypes, simulations, software applications, software design, systems management, tools</t>
  </si>
  <si>
    <t>access, adoption, business requirement, business requirements, communication networks, network design, organisational policy, reliability, scalability</t>
  </si>
  <si>
    <t>activities, developing software, iterations, monitors applications, organisational policy, plans, programming/software development, software, software construction, software development, software security, stage, stages, tools</t>
  </si>
  <si>
    <t>control, controls, data governance, data management, governance, integrity, maintains, management process, plans, sources, transformation</t>
  </si>
  <si>
    <t>accessing, analytics, architectures software, business intelligence, data systems, data warehouse, database design, database management system, design policies, expert guidance, maintaining, management system, mechanisms, services, services provides, transactional data, warehouse architectures</t>
  </si>
  <si>
    <t>adoption, aligns business, analytics, business strategy, communicating, cross functional, data analytics, data science, decision making, embedded, governance, leadership, organisational performance, transformation</t>
  </si>
  <si>
    <t>adoption, create value, data mining, data science, data sets, decision, decision making, innovation, mathematics statistics, organisational policy, predict, predictive modelling, tools</t>
  </si>
  <si>
    <t>adaptability, collaborates, developing systems, improving performance, infrastructure, learn development, machine learn, machine learning, machine learning projects, mlops, operations, pipelines, tools</t>
  </si>
  <si>
    <t>continuous integration, data engineering, data management, data management plan, data pipeline, functional requirement, functional requirements, monitoring, organisational policy, processing systems, real time, reliable, scalability, scalable, securing, standards architectures</t>
  </si>
  <si>
    <t>automates, data sets, data visualisation, data visuals, decision making, decision processes, experimentation, visualisation techniques</t>
  </si>
  <si>
    <t>adopted, collaboration, collaborations, coordinating, cross functional teams, decisions, high level, incident management, leadership, management process, swift</t>
  </si>
  <si>
    <t>coordinates, investigate, management process, managing, problem management, reporting systems, resolve problems</t>
  </si>
  <si>
    <t>controls security management, defining operating framework, ensures compliance business, information security, information security strategy, plans secures organisational</t>
  </si>
  <si>
    <t>appetite risk provides, governance frameworks establishes, objectives defines communicates, organisation risk strategy, planning implementing processes, risk management</t>
  </si>
  <si>
    <t>ai data initiatives, artificial intelligence (ai) and data ethics, defines governance processes, development deployment, ethical practices design, industry bodies experts</t>
  </si>
  <si>
    <t>achieve audit objectives, audit, controls compliance environment, effectiveness efficiency control, independent risk based, supply chain confirms</t>
  </si>
  <si>
    <t>audits initiates application, compliance national international, processes working practices, quality management, quality management techniques, strategy business objectives</t>
  </si>
  <si>
    <t>assesses risks ensuring, collaboration leadership governance, delivering agreed project, meet agreed standards, project management, project management methods</t>
  </si>
  <si>
    <t>backlog manages, develops product roadmaps, facilitates uptake products, product management, services lifecycle, usage data understand</t>
  </si>
  <si>
    <t>implementation strategies, policies standards guidelines, requirements agreed systems, systems design, systems design lifecycle, systems development programmes</t>
  </si>
  <si>
    <t>security systems management, software design, software designs ensure, specifies designs architects, standards principles specifies, undertakes impact analysis</t>
  </si>
  <si>
    <t>adherence organisational policies, designing communication networks, network design, network specification standards, scalability reliability, security resilience recovery</t>
  </si>
  <si>
    <t>deliver value stakeholders, developing software components, organisational policies standards, programming/software development, security contributes development, standards software construction</t>
  </si>
  <si>
    <t>availability integrity searchability, data assets devises, data governance, data management, formal data metadata, formats media maintains</t>
  </si>
  <si>
    <t>characteristics database management, data warehouse architectures, database design, mechanisms storing accessing, provides expert guidance, provision use database</t>
  </si>
  <si>
    <t>data analytics, data science capabilities, driven decision making, embedded governance, organisation data analytics, strategies enterprise transformation</t>
  </si>
  <si>
    <t>business value develops, data science, methodologies tools leads, organisational policies standards, predict behaviours generate, use data science</t>
  </si>
  <si>
    <t>frameworks infrastructure machine, infrastructure machine learning, learning development operations, machine learning, machine learning initiatives, mlops practices evaluates</t>
  </si>
  <si>
    <t>continuous integration deployment, data engineering, data engineering solutions, functional requirements monitors, pipelines stores real, security ensuring compliance</t>
  </si>
  <si>
    <t>contributes exploration experimentation, data visualisation, develops narratives data, displaying concepts ideas, sets guide decision</t>
  </si>
  <si>
    <t>coordinating responses, goals provides leadership, incident management, incident management strategy, organisational collaboration ensures, restore services</t>
  </si>
  <si>
    <t>implementation agreed remedies, lifecycle, problem management, problem management processes, reporting systems enables, service ensures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</si>
</sst>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2" fontId="0" fillId="0" borderId="0" xfId="0" applyNumberFormat="1"/>
    <xf numFmtId="166"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workbookViewId="0">
      <selection activeCell="M7" sqref="M7"/>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29</v>
      </c>
      <c r="C2" t="s">
        <v>49</v>
      </c>
      <c r="D2">
        <v>0</v>
      </c>
      <c r="E2">
        <v>5</v>
      </c>
      <c r="F2">
        <v>22</v>
      </c>
      <c r="G2" s="3">
        <v>0</v>
      </c>
      <c r="H2" s="3">
        <v>0</v>
      </c>
      <c r="I2" s="3">
        <v>0</v>
      </c>
    </row>
    <row r="3" spans="1:9" x14ac:dyDescent="0.3">
      <c r="A3" t="s">
        <v>10</v>
      </c>
      <c r="B3" t="s">
        <v>30</v>
      </c>
      <c r="C3" t="s">
        <v>50</v>
      </c>
      <c r="D3">
        <v>0</v>
      </c>
      <c r="E3">
        <v>5</v>
      </c>
      <c r="F3">
        <v>11</v>
      </c>
      <c r="G3" s="3">
        <v>0</v>
      </c>
      <c r="H3" s="3">
        <v>0</v>
      </c>
      <c r="I3" s="3">
        <v>0</v>
      </c>
    </row>
    <row r="4" spans="1:9" x14ac:dyDescent="0.3">
      <c r="A4" t="s">
        <v>11</v>
      </c>
      <c r="B4" t="s">
        <v>31</v>
      </c>
      <c r="C4" t="s">
        <v>51</v>
      </c>
      <c r="D4">
        <v>0</v>
      </c>
      <c r="E4">
        <v>5</v>
      </c>
      <c r="F4">
        <v>13</v>
      </c>
      <c r="G4" s="3">
        <v>0</v>
      </c>
      <c r="H4" s="3">
        <v>0</v>
      </c>
      <c r="I4" s="3">
        <v>0</v>
      </c>
    </row>
    <row r="5" spans="1:9" x14ac:dyDescent="0.3">
      <c r="A5" t="s">
        <v>12</v>
      </c>
      <c r="B5" t="s">
        <v>32</v>
      </c>
      <c r="C5" t="s">
        <v>52</v>
      </c>
      <c r="D5">
        <v>0</v>
      </c>
      <c r="E5">
        <v>5</v>
      </c>
      <c r="F5">
        <v>17</v>
      </c>
      <c r="G5" s="3">
        <v>0</v>
      </c>
      <c r="H5" s="3">
        <v>0</v>
      </c>
      <c r="I5" s="3">
        <v>0</v>
      </c>
    </row>
    <row r="6" spans="1:9" x14ac:dyDescent="0.3">
      <c r="A6" t="s">
        <v>13</v>
      </c>
      <c r="B6" t="s">
        <v>33</v>
      </c>
      <c r="C6" t="s">
        <v>53</v>
      </c>
      <c r="D6">
        <v>0</v>
      </c>
      <c r="E6">
        <v>5</v>
      </c>
      <c r="F6">
        <v>16</v>
      </c>
      <c r="G6" s="3">
        <v>0</v>
      </c>
      <c r="H6" s="3">
        <v>0</v>
      </c>
      <c r="I6" s="3">
        <v>0</v>
      </c>
    </row>
    <row r="7" spans="1:9" x14ac:dyDescent="0.3">
      <c r="A7" t="s">
        <v>14</v>
      </c>
      <c r="B7" t="s">
        <v>34</v>
      </c>
      <c r="C7" t="s">
        <v>54</v>
      </c>
      <c r="D7">
        <v>0</v>
      </c>
      <c r="E7">
        <v>5</v>
      </c>
      <c r="F7">
        <v>23</v>
      </c>
      <c r="G7" s="3">
        <v>0</v>
      </c>
      <c r="H7" s="3">
        <v>0</v>
      </c>
      <c r="I7" s="3">
        <v>0</v>
      </c>
    </row>
    <row r="8" spans="1:9" x14ac:dyDescent="0.3">
      <c r="A8" t="s">
        <v>15</v>
      </c>
      <c r="B8" t="s">
        <v>35</v>
      </c>
      <c r="C8" t="s">
        <v>55</v>
      </c>
      <c r="D8">
        <v>0</v>
      </c>
      <c r="E8">
        <v>5</v>
      </c>
      <c r="F8">
        <v>16</v>
      </c>
      <c r="G8" s="3">
        <v>0</v>
      </c>
      <c r="H8" s="3">
        <v>0</v>
      </c>
      <c r="I8" s="3">
        <v>0</v>
      </c>
    </row>
    <row r="9" spans="1:9" x14ac:dyDescent="0.3">
      <c r="A9" t="s">
        <v>16</v>
      </c>
      <c r="B9" t="s">
        <v>36</v>
      </c>
      <c r="C9" t="s">
        <v>56</v>
      </c>
      <c r="D9">
        <v>1</v>
      </c>
      <c r="E9">
        <v>4</v>
      </c>
      <c r="F9">
        <v>8</v>
      </c>
      <c r="G9" s="3">
        <v>0.2</v>
      </c>
      <c r="H9" s="3">
        <v>0.1111111111111111</v>
      </c>
      <c r="I9" s="3">
        <v>0.14285714285714279</v>
      </c>
    </row>
    <row r="10" spans="1:9" x14ac:dyDescent="0.3">
      <c r="A10" t="s">
        <v>17</v>
      </c>
      <c r="B10" t="s">
        <v>37</v>
      </c>
      <c r="C10" t="s">
        <v>57</v>
      </c>
      <c r="D10">
        <v>1</v>
      </c>
      <c r="E10">
        <v>4</v>
      </c>
      <c r="F10">
        <v>14</v>
      </c>
      <c r="G10" s="3">
        <v>0.2</v>
      </c>
      <c r="H10" s="3">
        <v>6.6666666666666666E-2</v>
      </c>
      <c r="I10" s="3">
        <v>0.1</v>
      </c>
    </row>
    <row r="11" spans="1:9" x14ac:dyDescent="0.3">
      <c r="A11" t="s">
        <v>18</v>
      </c>
      <c r="B11" t="s">
        <v>38</v>
      </c>
      <c r="C11" t="s">
        <v>58</v>
      </c>
      <c r="D11">
        <v>0</v>
      </c>
      <c r="E11">
        <v>5</v>
      </c>
      <c r="F11">
        <v>16</v>
      </c>
      <c r="G11" s="3">
        <v>0</v>
      </c>
      <c r="H11" s="3">
        <v>0</v>
      </c>
      <c r="I11" s="3">
        <v>0</v>
      </c>
    </row>
    <row r="12" spans="1:9" x14ac:dyDescent="0.3">
      <c r="A12" t="s">
        <v>19</v>
      </c>
      <c r="B12" t="s">
        <v>39</v>
      </c>
      <c r="C12" t="s">
        <v>59</v>
      </c>
      <c r="D12">
        <v>0</v>
      </c>
      <c r="E12">
        <v>5</v>
      </c>
      <c r="F12">
        <v>11</v>
      </c>
      <c r="G12" s="3">
        <v>0</v>
      </c>
      <c r="H12" s="3">
        <v>0</v>
      </c>
      <c r="I12" s="3">
        <v>0</v>
      </c>
    </row>
    <row r="13" spans="1:9" x14ac:dyDescent="0.3">
      <c r="A13" t="s">
        <v>20</v>
      </c>
      <c r="B13" t="s">
        <v>40</v>
      </c>
      <c r="C13" t="s">
        <v>60</v>
      </c>
      <c r="D13">
        <v>0</v>
      </c>
      <c r="E13">
        <v>5</v>
      </c>
      <c r="F13">
        <v>6</v>
      </c>
      <c r="G13" s="3">
        <v>0</v>
      </c>
      <c r="H13" s="3">
        <v>0</v>
      </c>
      <c r="I13" s="3">
        <v>0</v>
      </c>
    </row>
    <row r="14" spans="1:9" x14ac:dyDescent="0.3">
      <c r="A14" t="s">
        <v>21</v>
      </c>
      <c r="B14" t="s">
        <v>41</v>
      </c>
      <c r="C14" t="s">
        <v>61</v>
      </c>
      <c r="D14">
        <v>0</v>
      </c>
      <c r="E14">
        <v>5</v>
      </c>
      <c r="F14">
        <v>16</v>
      </c>
      <c r="G14" s="3">
        <v>0</v>
      </c>
      <c r="H14" s="3">
        <v>0</v>
      </c>
      <c r="I14" s="3">
        <v>0</v>
      </c>
    </row>
    <row r="15" spans="1:9" x14ac:dyDescent="0.3">
      <c r="A15" t="s">
        <v>22</v>
      </c>
      <c r="B15" t="s">
        <v>42</v>
      </c>
      <c r="C15" t="s">
        <v>62</v>
      </c>
      <c r="D15">
        <v>0</v>
      </c>
      <c r="E15">
        <v>5</v>
      </c>
      <c r="F15">
        <v>11</v>
      </c>
      <c r="G15" s="3">
        <v>0</v>
      </c>
      <c r="H15" s="3">
        <v>0</v>
      </c>
      <c r="I15" s="3">
        <v>0</v>
      </c>
    </row>
    <row r="16" spans="1:9" x14ac:dyDescent="0.3">
      <c r="A16" t="s">
        <v>23</v>
      </c>
      <c r="B16" t="s">
        <v>43</v>
      </c>
      <c r="C16" t="s">
        <v>63</v>
      </c>
      <c r="D16">
        <v>0</v>
      </c>
      <c r="E16">
        <v>5</v>
      </c>
      <c r="F16">
        <v>6</v>
      </c>
      <c r="G16" s="3">
        <v>0</v>
      </c>
      <c r="H16" s="3">
        <v>0</v>
      </c>
      <c r="I16" s="3">
        <v>0</v>
      </c>
    </row>
    <row r="17" spans="1:9" x14ac:dyDescent="0.3">
      <c r="A17" t="s">
        <v>24</v>
      </c>
      <c r="B17" t="s">
        <v>44</v>
      </c>
      <c r="C17" t="s">
        <v>64</v>
      </c>
      <c r="D17">
        <v>0</v>
      </c>
      <c r="E17">
        <v>5</v>
      </c>
      <c r="F17">
        <v>11</v>
      </c>
      <c r="G17" s="3">
        <v>0</v>
      </c>
      <c r="H17" s="3">
        <v>0</v>
      </c>
      <c r="I17" s="3">
        <v>0</v>
      </c>
    </row>
    <row r="18" spans="1:9" x14ac:dyDescent="0.3">
      <c r="A18" t="s">
        <v>25</v>
      </c>
      <c r="B18" t="s">
        <v>45</v>
      </c>
      <c r="C18" t="s">
        <v>65</v>
      </c>
      <c r="D18">
        <v>0</v>
      </c>
      <c r="E18">
        <v>5</v>
      </c>
      <c r="F18">
        <v>9</v>
      </c>
      <c r="G18" s="3">
        <v>0</v>
      </c>
      <c r="H18" s="3">
        <v>0</v>
      </c>
      <c r="I18" s="3">
        <v>0</v>
      </c>
    </row>
    <row r="19" spans="1:9" x14ac:dyDescent="0.3">
      <c r="A19" t="s">
        <v>26</v>
      </c>
      <c r="B19" t="s">
        <v>46</v>
      </c>
      <c r="C19" t="s">
        <v>66</v>
      </c>
      <c r="D19">
        <v>0</v>
      </c>
      <c r="E19">
        <v>5</v>
      </c>
      <c r="F19">
        <v>14</v>
      </c>
      <c r="G19" s="3">
        <v>0</v>
      </c>
      <c r="H19" s="3">
        <v>0</v>
      </c>
      <c r="I19" s="3">
        <v>0</v>
      </c>
    </row>
    <row r="20" spans="1:9" x14ac:dyDescent="0.3">
      <c r="A20" t="s">
        <v>27</v>
      </c>
      <c r="B20" t="s">
        <v>47</v>
      </c>
      <c r="C20" t="s">
        <v>67</v>
      </c>
      <c r="D20">
        <v>0</v>
      </c>
      <c r="E20">
        <v>5</v>
      </c>
      <c r="F20">
        <v>10</v>
      </c>
      <c r="G20" s="3">
        <v>0</v>
      </c>
      <c r="H20" s="3">
        <v>0</v>
      </c>
      <c r="I20" s="3">
        <v>0</v>
      </c>
    </row>
    <row r="21" spans="1:9" x14ac:dyDescent="0.3">
      <c r="A21" t="s">
        <v>28</v>
      </c>
      <c r="B21" t="s">
        <v>48</v>
      </c>
      <c r="C21" t="s">
        <v>68</v>
      </c>
      <c r="D21">
        <v>1</v>
      </c>
      <c r="E21">
        <v>4</v>
      </c>
      <c r="F21">
        <v>17</v>
      </c>
      <c r="G21" s="3">
        <v>0.2</v>
      </c>
      <c r="H21" s="3">
        <v>5.5555555555555552E-2</v>
      </c>
      <c r="I21" s="3">
        <v>8.6956521739130446E-2</v>
      </c>
    </row>
    <row r="22" spans="1:9" x14ac:dyDescent="0.3">
      <c r="D22" s="2">
        <f>SUM(D2:D21)</f>
        <v>3</v>
      </c>
      <c r="E22" s="2">
        <f t="shared" ref="E22:F22" si="0">SUM(E2:E21)</f>
        <v>97</v>
      </c>
      <c r="F22" s="2">
        <f t="shared" si="0"/>
        <v>267</v>
      </c>
      <c r="G22" s="4">
        <f>AVERAGE(G2:G21)</f>
        <v>3.0000000000000006E-2</v>
      </c>
      <c r="H22" s="4">
        <f t="shared" ref="H22:I22" si="1">AVERAGE(H2:H21)</f>
        <v>1.1666666666666665E-2</v>
      </c>
      <c r="I22" s="4">
        <f t="shared" si="1"/>
        <v>1.6490683229813664E-2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tabSelected="1" workbookViewId="0">
      <selection activeCell="K13" sqref="K13"/>
    </sheetView>
  </sheetViews>
  <sheetFormatPr defaultRowHeight="14.4" x14ac:dyDescent="0.3"/>
  <sheetData>
    <row r="1" spans="1:9" x14ac:dyDescent="0.3">
      <c r="A1" s="1" t="s">
        <v>69</v>
      </c>
      <c r="B1" s="1" t="s">
        <v>1</v>
      </c>
      <c r="C1" s="1" t="s">
        <v>2</v>
      </c>
      <c r="D1" s="1" t="s">
        <v>3</v>
      </c>
      <c r="E1" s="1" t="s">
        <v>4</v>
      </c>
      <c r="F1" s="1" t="s">
        <v>5</v>
      </c>
      <c r="G1" s="1" t="s">
        <v>6</v>
      </c>
      <c r="H1" s="1" t="s">
        <v>7</v>
      </c>
      <c r="I1" s="1" t="s">
        <v>8</v>
      </c>
    </row>
    <row r="2" spans="1:9" x14ac:dyDescent="0.3">
      <c r="A2" t="s">
        <v>70</v>
      </c>
      <c r="B2" t="s">
        <v>90</v>
      </c>
      <c r="C2" t="s">
        <v>110</v>
      </c>
      <c r="D2">
        <v>1</v>
      </c>
      <c r="E2">
        <v>5</v>
      </c>
      <c r="F2">
        <v>10</v>
      </c>
      <c r="G2" s="3">
        <v>0.16666666666666671</v>
      </c>
      <c r="H2" s="3">
        <v>9.0909090909090912E-2</v>
      </c>
      <c r="I2" s="3">
        <v>0.1176470588235294</v>
      </c>
    </row>
    <row r="3" spans="1:9" x14ac:dyDescent="0.3">
      <c r="A3" t="s">
        <v>71</v>
      </c>
      <c r="B3" t="s">
        <v>91</v>
      </c>
      <c r="C3" t="s">
        <v>111</v>
      </c>
      <c r="D3">
        <v>1</v>
      </c>
      <c r="E3">
        <v>5</v>
      </c>
      <c r="F3">
        <v>8</v>
      </c>
      <c r="G3" s="3">
        <v>0.16666666666666671</v>
      </c>
      <c r="H3" s="3">
        <v>0.1111111111111111</v>
      </c>
      <c r="I3" s="3">
        <v>0.1333333333333333</v>
      </c>
    </row>
    <row r="4" spans="1:9" x14ac:dyDescent="0.3">
      <c r="A4" t="s">
        <v>72</v>
      </c>
      <c r="B4" t="s">
        <v>92</v>
      </c>
      <c r="C4" t="s">
        <v>112</v>
      </c>
      <c r="D4">
        <v>1</v>
      </c>
      <c r="E4">
        <v>5</v>
      </c>
      <c r="F4">
        <v>7</v>
      </c>
      <c r="G4" s="3">
        <v>0.16666666666666671</v>
      </c>
      <c r="H4" s="3">
        <v>0.125</v>
      </c>
      <c r="I4" s="3">
        <v>0.1428571428571429</v>
      </c>
    </row>
    <row r="5" spans="1:9" x14ac:dyDescent="0.3">
      <c r="A5" t="s">
        <v>73</v>
      </c>
      <c r="B5" t="s">
        <v>93</v>
      </c>
      <c r="C5" t="s">
        <v>113</v>
      </c>
      <c r="D5">
        <v>1</v>
      </c>
      <c r="E5">
        <v>5</v>
      </c>
      <c r="F5">
        <v>14</v>
      </c>
      <c r="G5" s="3">
        <v>0.16666666666666671</v>
      </c>
      <c r="H5" s="3">
        <v>6.6666666666666666E-2</v>
      </c>
      <c r="I5" s="3">
        <v>9.5238095238095219E-2</v>
      </c>
    </row>
    <row r="6" spans="1:9" x14ac:dyDescent="0.3">
      <c r="A6" t="s">
        <v>74</v>
      </c>
      <c r="B6" t="s">
        <v>94</v>
      </c>
      <c r="C6" t="s">
        <v>114</v>
      </c>
      <c r="D6">
        <v>1</v>
      </c>
      <c r="E6">
        <v>5</v>
      </c>
      <c r="F6">
        <v>10</v>
      </c>
      <c r="G6" s="3">
        <v>0.16666666666666671</v>
      </c>
      <c r="H6" s="3">
        <v>9.0909090909090912E-2</v>
      </c>
      <c r="I6" s="3">
        <v>0.1176470588235294</v>
      </c>
    </row>
    <row r="7" spans="1:9" x14ac:dyDescent="0.3">
      <c r="A7" t="s">
        <v>75</v>
      </c>
      <c r="B7" t="s">
        <v>95</v>
      </c>
      <c r="C7" t="s">
        <v>115</v>
      </c>
      <c r="D7">
        <v>1</v>
      </c>
      <c r="E7">
        <v>5</v>
      </c>
      <c r="F7">
        <v>18</v>
      </c>
      <c r="G7" s="3">
        <v>0.16666666666666671</v>
      </c>
      <c r="H7" s="3">
        <v>5.2631578947368418E-2</v>
      </c>
      <c r="I7" s="3">
        <v>0.08</v>
      </c>
    </row>
    <row r="8" spans="1:9" x14ac:dyDescent="0.3">
      <c r="A8" t="s">
        <v>76</v>
      </c>
      <c r="B8" t="s">
        <v>96</v>
      </c>
      <c r="C8" t="s">
        <v>116</v>
      </c>
      <c r="D8">
        <v>1</v>
      </c>
      <c r="E8">
        <v>5</v>
      </c>
      <c r="F8">
        <v>7</v>
      </c>
      <c r="G8" s="3">
        <v>0.16666666666666671</v>
      </c>
      <c r="H8" s="3">
        <v>0.125</v>
      </c>
      <c r="I8" s="3">
        <v>0.1428571428571429</v>
      </c>
    </row>
    <row r="9" spans="1:9" x14ac:dyDescent="0.3">
      <c r="A9" t="s">
        <v>77</v>
      </c>
      <c r="B9" t="s">
        <v>97</v>
      </c>
      <c r="C9" t="s">
        <v>117</v>
      </c>
      <c r="D9">
        <v>1</v>
      </c>
      <c r="E9">
        <v>5</v>
      </c>
      <c r="F9">
        <v>9</v>
      </c>
      <c r="G9" s="3">
        <v>0.16666666666666671</v>
      </c>
      <c r="H9" s="3">
        <v>0.1</v>
      </c>
      <c r="I9" s="3">
        <v>0.125</v>
      </c>
    </row>
    <row r="10" spans="1:9" x14ac:dyDescent="0.3">
      <c r="A10" t="s">
        <v>78</v>
      </c>
      <c r="B10" t="s">
        <v>98</v>
      </c>
      <c r="C10" t="s">
        <v>118</v>
      </c>
      <c r="D10">
        <v>1</v>
      </c>
      <c r="E10">
        <v>5</v>
      </c>
      <c r="F10">
        <v>12</v>
      </c>
      <c r="G10" s="3">
        <v>0.16666666666666671</v>
      </c>
      <c r="H10" s="3">
        <v>7.6923076923076927E-2</v>
      </c>
      <c r="I10" s="3">
        <v>0.10526315789473679</v>
      </c>
    </row>
    <row r="11" spans="1:9" x14ac:dyDescent="0.3">
      <c r="A11" t="s">
        <v>79</v>
      </c>
      <c r="B11" t="s">
        <v>99</v>
      </c>
      <c r="C11" t="s">
        <v>119</v>
      </c>
      <c r="D11">
        <v>1</v>
      </c>
      <c r="E11">
        <v>5</v>
      </c>
      <c r="F11">
        <v>8</v>
      </c>
      <c r="G11" s="3">
        <v>0.16666666666666671</v>
      </c>
      <c r="H11" s="3">
        <v>0.1111111111111111</v>
      </c>
      <c r="I11" s="3">
        <v>0.1333333333333333</v>
      </c>
    </row>
    <row r="12" spans="1:9" x14ac:dyDescent="0.3">
      <c r="A12" t="s">
        <v>80</v>
      </c>
      <c r="B12" t="s">
        <v>100</v>
      </c>
      <c r="C12" t="s">
        <v>120</v>
      </c>
      <c r="D12">
        <v>1</v>
      </c>
      <c r="E12">
        <v>5</v>
      </c>
      <c r="F12">
        <v>13</v>
      </c>
      <c r="G12" s="3">
        <v>0.16666666666666671</v>
      </c>
      <c r="H12" s="3">
        <v>7.1428571428571425E-2</v>
      </c>
      <c r="I12" s="3">
        <v>0.1</v>
      </c>
    </row>
    <row r="13" spans="1:9" x14ac:dyDescent="0.3">
      <c r="A13" t="s">
        <v>81</v>
      </c>
      <c r="B13" t="s">
        <v>101</v>
      </c>
      <c r="C13" t="s">
        <v>121</v>
      </c>
      <c r="D13">
        <v>2</v>
      </c>
      <c r="E13">
        <v>4</v>
      </c>
      <c r="F13">
        <v>9</v>
      </c>
      <c r="G13" s="3">
        <v>0.33333333333333331</v>
      </c>
      <c r="H13" s="3">
        <v>0.1818181818181818</v>
      </c>
      <c r="I13" s="3">
        <v>0.23529411764705879</v>
      </c>
    </row>
    <row r="14" spans="1:9" x14ac:dyDescent="0.3">
      <c r="A14" t="s">
        <v>82</v>
      </c>
      <c r="B14" t="s">
        <v>102</v>
      </c>
      <c r="C14" t="s">
        <v>122</v>
      </c>
      <c r="D14">
        <v>1</v>
      </c>
      <c r="E14">
        <v>5</v>
      </c>
      <c r="F14">
        <v>16</v>
      </c>
      <c r="G14" s="3">
        <v>0.16666666666666671</v>
      </c>
      <c r="H14" s="3">
        <v>5.8823529411764712E-2</v>
      </c>
      <c r="I14" s="3">
        <v>8.6956521739130446E-2</v>
      </c>
    </row>
    <row r="15" spans="1:9" x14ac:dyDescent="0.3">
      <c r="A15" t="s">
        <v>83</v>
      </c>
      <c r="B15" t="s">
        <v>103</v>
      </c>
      <c r="C15" t="s">
        <v>123</v>
      </c>
      <c r="D15">
        <v>1</v>
      </c>
      <c r="E15">
        <v>5</v>
      </c>
      <c r="F15">
        <v>13</v>
      </c>
      <c r="G15" s="3">
        <v>0.16666666666666671</v>
      </c>
      <c r="H15" s="3">
        <v>7.1428571428571425E-2</v>
      </c>
      <c r="I15" s="3">
        <v>0.1</v>
      </c>
    </row>
    <row r="16" spans="1:9" x14ac:dyDescent="0.3">
      <c r="A16" t="s">
        <v>84</v>
      </c>
      <c r="B16" t="s">
        <v>104</v>
      </c>
      <c r="C16" t="s">
        <v>124</v>
      </c>
      <c r="D16">
        <v>1</v>
      </c>
      <c r="E16">
        <v>5</v>
      </c>
      <c r="F16">
        <v>12</v>
      </c>
      <c r="G16" s="3">
        <v>0.16666666666666671</v>
      </c>
      <c r="H16" s="3">
        <v>7.6923076923076927E-2</v>
      </c>
      <c r="I16" s="3">
        <v>0.10526315789473679</v>
      </c>
    </row>
    <row r="17" spans="1:9" x14ac:dyDescent="0.3">
      <c r="A17" t="s">
        <v>85</v>
      </c>
      <c r="B17" t="s">
        <v>105</v>
      </c>
      <c r="C17" t="s">
        <v>125</v>
      </c>
      <c r="D17">
        <v>1</v>
      </c>
      <c r="E17">
        <v>5</v>
      </c>
      <c r="F17">
        <v>12</v>
      </c>
      <c r="G17" s="3">
        <v>0.16666666666666671</v>
      </c>
      <c r="H17" s="3">
        <v>7.6923076923076927E-2</v>
      </c>
      <c r="I17" s="3">
        <v>0.10526315789473679</v>
      </c>
    </row>
    <row r="18" spans="1:9" x14ac:dyDescent="0.3">
      <c r="A18" t="s">
        <v>86</v>
      </c>
      <c r="B18" t="s">
        <v>106</v>
      </c>
      <c r="C18" t="s">
        <v>126</v>
      </c>
      <c r="D18">
        <v>1</v>
      </c>
      <c r="E18">
        <v>5</v>
      </c>
      <c r="F18">
        <v>15</v>
      </c>
      <c r="G18" s="3">
        <v>0.16666666666666671</v>
      </c>
      <c r="H18" s="3">
        <v>6.25E-2</v>
      </c>
      <c r="I18" s="3">
        <v>9.0909090909090912E-2</v>
      </c>
    </row>
    <row r="19" spans="1:9" x14ac:dyDescent="0.3">
      <c r="A19" t="s">
        <v>87</v>
      </c>
      <c r="B19" t="s">
        <v>107</v>
      </c>
      <c r="C19" t="s">
        <v>127</v>
      </c>
      <c r="D19">
        <v>1</v>
      </c>
      <c r="E19">
        <v>4</v>
      </c>
      <c r="F19">
        <v>7</v>
      </c>
      <c r="G19" s="3">
        <v>0.2</v>
      </c>
      <c r="H19" s="3">
        <v>0.125</v>
      </c>
      <c r="I19" s="3">
        <v>0.15384615384615391</v>
      </c>
    </row>
    <row r="20" spans="1:9" x14ac:dyDescent="0.3">
      <c r="A20" t="s">
        <v>88</v>
      </c>
      <c r="B20" t="s">
        <v>108</v>
      </c>
      <c r="C20" t="s">
        <v>128</v>
      </c>
      <c r="D20">
        <v>1</v>
      </c>
      <c r="E20">
        <v>5</v>
      </c>
      <c r="F20">
        <v>10</v>
      </c>
      <c r="G20" s="3">
        <v>0.16666666666666671</v>
      </c>
      <c r="H20" s="3">
        <v>9.0909090909090912E-2</v>
      </c>
      <c r="I20" s="3">
        <v>0.1176470588235294</v>
      </c>
    </row>
    <row r="21" spans="1:9" x14ac:dyDescent="0.3">
      <c r="A21" t="s">
        <v>89</v>
      </c>
      <c r="B21" t="s">
        <v>109</v>
      </c>
      <c r="C21" t="s">
        <v>129</v>
      </c>
      <c r="D21">
        <v>1</v>
      </c>
      <c r="E21">
        <v>5</v>
      </c>
      <c r="F21">
        <v>6</v>
      </c>
      <c r="G21" s="3">
        <v>0.16666666666666671</v>
      </c>
      <c r="H21" s="3">
        <v>0.14285714285714279</v>
      </c>
      <c r="I21" s="3">
        <v>0.1538461538461538</v>
      </c>
    </row>
    <row r="22" spans="1:9" x14ac:dyDescent="0.3">
      <c r="D22" s="2">
        <f>SUM(D2:D21)</f>
        <v>21</v>
      </c>
      <c r="E22" s="2">
        <f t="shared" ref="E22:F22" si="0">SUM(E2:E21)</f>
        <v>98</v>
      </c>
      <c r="F22" s="2">
        <f t="shared" si="0"/>
        <v>216</v>
      </c>
      <c r="G22" s="4">
        <f>AVERAGE(G2:G21)</f>
        <v>0.17666666666666667</v>
      </c>
      <c r="H22" s="4">
        <f t="shared" ref="H22:I22" si="1">AVERAGE(H2:H21)</f>
        <v>9.5443648413849641E-2</v>
      </c>
      <c r="I22" s="4">
        <f t="shared" si="1"/>
        <v>0.1221100867880717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 CLO</vt:lpstr>
      <vt:lpstr>Hasil 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2026-03-13T07:19:02Z</dcterms:created>
  <dcterms:modified xsi:type="dcterms:W3CDTF">2026-03-13T07:29:29Z</dcterms:modified>
</cp:coreProperties>
</file>