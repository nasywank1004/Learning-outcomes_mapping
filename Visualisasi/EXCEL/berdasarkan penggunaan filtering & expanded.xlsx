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31C39F6-C66D-4B5A-B18E-674FDAA56735}" xr6:coauthVersionLast="45" xr6:coauthVersionMax="45" xr10:uidLastSave="{00000000-0000-0000-0000-000000000000}"/>
  <bookViews>
    <workbookView xWindow="-108" yWindow="-108" windowWidth="23256" windowHeight="12456" xr2:uid="{7FA49FC2-CE30-40D7-9B0C-EC2377307A21}"/>
  </bookViews>
  <sheets>
    <sheet name="Penggunaan Filtering" sheetId="1" r:id="rId1"/>
    <sheet name="Penggunaan Expanded" sheetId="4" r:id="rId2"/>
    <sheet name="Rekap" sheetId="10" r:id="rId3"/>
    <sheet name="Rekap (2)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3" i="4" l="1"/>
  <c r="U33" i="4"/>
  <c r="V33" i="4"/>
  <c r="S33" i="4"/>
  <c r="H33" i="4"/>
  <c r="I33" i="4"/>
  <c r="J33" i="4"/>
  <c r="G33" i="4"/>
  <c r="T25" i="4"/>
  <c r="U25" i="4"/>
  <c r="V25" i="4"/>
  <c r="S25" i="4"/>
  <c r="H25" i="4"/>
  <c r="I25" i="4"/>
  <c r="J25" i="4"/>
  <c r="G25" i="4"/>
  <c r="T15" i="4"/>
  <c r="U15" i="4"/>
  <c r="V15" i="4"/>
  <c r="S15" i="4"/>
  <c r="H15" i="4"/>
  <c r="I15" i="4"/>
  <c r="J15" i="4"/>
  <c r="G15" i="4"/>
  <c r="T7" i="4"/>
  <c r="U7" i="4"/>
  <c r="V7" i="4"/>
  <c r="S7" i="4"/>
  <c r="H7" i="4"/>
  <c r="I7" i="4"/>
  <c r="J7" i="4"/>
  <c r="G7" i="4"/>
  <c r="V25" i="1" l="1"/>
  <c r="U25" i="1"/>
  <c r="T25" i="1"/>
  <c r="S25" i="1"/>
  <c r="T12" i="1"/>
  <c r="U12" i="1"/>
  <c r="V12" i="1"/>
  <c r="S12" i="1"/>
  <c r="H25" i="1" l="1"/>
  <c r="I25" i="1"/>
  <c r="J25" i="1"/>
  <c r="G25" i="1"/>
  <c r="H12" i="1"/>
  <c r="I12" i="1"/>
  <c r="J12" i="1"/>
  <c r="G12" i="1"/>
</calcChain>
</file>

<file path=xl/sharedStrings.xml><?xml version="1.0" encoding="utf-8"?>
<sst xmlns="http://schemas.openxmlformats.org/spreadsheetml/2006/main" count="308" uniqueCount="24">
  <si>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</si>
  <si>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</si>
  <si>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</si>
  <si>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</si>
  <si>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</si>
  <si>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</si>
  <si>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</si>
  <si>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</si>
  <si>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</si>
  <si>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</si>
  <si>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</si>
  <si>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</si>
  <si>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</si>
  <si>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</si>
  <si>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</si>
  <si>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</si>
  <si>
    <t>ITS_IS</t>
  </si>
  <si>
    <t>Precision</t>
  </si>
  <si>
    <t>Recall</t>
  </si>
  <si>
    <t>F1-Score</t>
  </si>
  <si>
    <t>Accuracy</t>
  </si>
  <si>
    <t>Tanpa Filtering</t>
  </si>
  <si>
    <t>Dengan Filtering</t>
  </si>
  <si>
    <t>Non-Expanded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</si>
</sst>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 vertical="top"/>
    </xf>
    <xf numFmtId="0" fontId="0" fillId="2" borderId="2" xfId="0" applyFill="1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Rekap Hasil ITS_IS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Rekap!$C$1</c:f>
              <c:strCache>
                <c:ptCount val="1"/>
                <c:pt idx="0">
                  <c:v>Tanpa Filtering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Rekap!$B$6:$B$9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F1-Score</c:v>
                </c:pt>
                <c:pt idx="3">
                  <c:v>Accuracy</c:v>
                </c:pt>
              </c:strCache>
            </c:strRef>
          </c:cat>
          <c:val>
            <c:numRef>
              <c:f>Rekap!$C$6:$C$9</c:f>
              <c:numCache>
                <c:formatCode>General</c:formatCode>
                <c:ptCount val="4"/>
                <c:pt idx="0">
                  <c:v>58.86999999999999</c:v>
                </c:pt>
                <c:pt idx="1">
                  <c:v>56.93399999999999</c:v>
                </c:pt>
                <c:pt idx="2">
                  <c:v>57.272000000000006</c:v>
                </c:pt>
                <c:pt idx="3">
                  <c:v>40.545000000000002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D-4EE4-8BB3-EF217780CE3D}"/>
            </c:ext>
          </c:extLst>
        </c:ser>
        <c:ser>
          <c:idx val="1"/>
          <c:order val="1"/>
          <c:tx>
            <c:strRef>
              <c:f>Rekap!$D$1</c:f>
              <c:strCache>
                <c:ptCount val="1"/>
                <c:pt idx="0">
                  <c:v>Dengan Filtering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Rekap!$B$6:$B$9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F1-Score</c:v>
                </c:pt>
                <c:pt idx="3">
                  <c:v>Accuracy</c:v>
                </c:pt>
              </c:strCache>
            </c:strRef>
          </c:cat>
          <c:val>
            <c:numRef>
              <c:f>Rekap!$D$6:$D$9</c:f>
              <c:numCache>
                <c:formatCode>General</c:formatCode>
                <c:ptCount val="4"/>
                <c:pt idx="0">
                  <c:v>59.291999999999994</c:v>
                </c:pt>
                <c:pt idx="1">
                  <c:v>79.246000000000009</c:v>
                </c:pt>
                <c:pt idx="2">
                  <c:v>67.635000000000005</c:v>
                </c:pt>
                <c:pt idx="3">
                  <c:v>51.272000000000006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6D-4EE4-8BB3-EF217780CE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7702751"/>
        <c:axId val="148285471"/>
      </c:barChart>
      <c:catAx>
        <c:axId val="14770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85471"/>
        <c:crosses val="autoZero"/>
        <c:auto val="1"/>
        <c:lblAlgn val="ctr"/>
        <c:lblOffset val="100"/>
        <c:noMultiLvlLbl val="0"/>
      </c:catAx>
      <c:valAx>
        <c:axId val="1482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0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Rekap</a:t>
            </a:r>
            <a:r>
              <a:rPr lang="en-US" baseline="0"/>
              <a:t> Hasil UNAIR_IS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Rekap!$C$1</c:f>
              <c:strCache>
                <c:ptCount val="1"/>
                <c:pt idx="0">
                  <c:v>Tanpa Filtering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Rekap!$B$2:$B$5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F1-Score</c:v>
                </c:pt>
                <c:pt idx="3">
                  <c:v>Accuracy</c:v>
                </c:pt>
              </c:strCache>
            </c:strRef>
          </c:cat>
          <c:val>
            <c:numRef>
              <c:f>Rekap!$C$2:$C$5</c:f>
              <c:numCache>
                <c:formatCode>General</c:formatCode>
                <c:ptCount val="4"/>
                <c:pt idx="0">
                  <c:v>23.915999999999997</c:v>
                </c:pt>
                <c:pt idx="1">
                  <c:v>73.263999999999982</c:v>
                </c:pt>
                <c:pt idx="2">
                  <c:v>35.827999999999996</c:v>
                </c:pt>
                <c:pt idx="3">
                  <c:v>21.861000000000001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FD-4839-AC23-E63389DECADA}"/>
            </c:ext>
          </c:extLst>
        </c:ser>
        <c:ser>
          <c:idx val="1"/>
          <c:order val="1"/>
          <c:tx>
            <c:strRef>
              <c:f>Rekap!$D$1</c:f>
              <c:strCache>
                <c:ptCount val="1"/>
                <c:pt idx="0">
                  <c:v>Dengan Filtering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Rekap!$B$2:$B$5</c:f>
              <c:strCache>
                <c:ptCount val="4"/>
                <c:pt idx="0">
                  <c:v>Precision</c:v>
                </c:pt>
                <c:pt idx="1">
                  <c:v>Recall</c:v>
                </c:pt>
                <c:pt idx="2">
                  <c:v>F1-Score</c:v>
                </c:pt>
                <c:pt idx="3">
                  <c:v>Accuracy</c:v>
                </c:pt>
              </c:strCache>
            </c:strRef>
          </c:cat>
          <c:val>
            <c:numRef>
              <c:f>Rekap!$D$2:$D$5</c:f>
              <c:numCache>
                <c:formatCode>General</c:formatCode>
                <c:ptCount val="4"/>
                <c:pt idx="0">
                  <c:v>19.006000000000004</c:v>
                </c:pt>
                <c:pt idx="1">
                  <c:v>89.388999999999996</c:v>
                </c:pt>
                <c:pt idx="2">
                  <c:v>31.266000000000002</c:v>
                </c:pt>
                <c:pt idx="3">
                  <c:v>18.544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6FD-4839-AC23-E63389DECA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06330063"/>
        <c:axId val="1502197263"/>
      </c:barChart>
      <c:catAx>
        <c:axId val="150633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197263"/>
        <c:crosses val="autoZero"/>
        <c:auto val="1"/>
        <c:lblAlgn val="ctr"/>
        <c:lblOffset val="100"/>
        <c:noMultiLvlLbl val="0"/>
      </c:catAx>
      <c:valAx>
        <c:axId val="15021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3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Rekap Hasil ITS_IS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Precision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'Rekap (2)'!$C$1:$F$2</c:f>
              <c:multiLvlStrCache>
                <c:ptCount val="4"/>
                <c:lvl>
                  <c:pt idx="0">
                    <c:v>Expanded</c:v>
                  </c:pt>
                  <c:pt idx="1">
                    <c:v>Non-Expanded</c:v>
                  </c:pt>
                  <c:pt idx="2">
                    <c:v>Expanded</c:v>
                  </c:pt>
                  <c:pt idx="3">
                    <c:v>Non-Expanded</c:v>
                  </c:pt>
                </c:lvl>
                <c:lvl>
                  <c:pt idx="0">
                    <c:v>Tanpa Filtering</c:v>
                  </c:pt>
                  <c:pt idx="2">
                    <c:v>Dengan Filtering</c:v>
                  </c:pt>
                </c:lvl>
              </c:multiLvlStrCache>
            </c:multiLvlStrRef>
          </c:cat>
          <c:val>
            <c:numRef>
              <c:f>'Rekap (2)'!$C$7:$F$7</c:f>
              <c:numCache>
                <c:formatCode>General</c:formatCode>
                <c:ptCount val="4"/>
                <c:pt idx="0">
                  <c:v>61.327999999999996</c:v>
                </c:pt>
                <c:pt idx="1">
                  <c:v>56.411999999999992</c:v>
                </c:pt>
                <c:pt idx="2">
                  <c:v>60.971999999999994</c:v>
                </c:pt>
                <c:pt idx="3">
                  <c:v>57.612000000000002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9-447D-9A63-F880DF9DA1EB}"/>
            </c:ext>
          </c:extLst>
        </c:ser>
        <c:ser>
          <c:idx val="1"/>
          <c:order val="1"/>
          <c:tx>
            <c:v>Recall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'Rekap (2)'!$C$1:$F$2</c:f>
              <c:multiLvlStrCache>
                <c:ptCount val="4"/>
                <c:lvl>
                  <c:pt idx="0">
                    <c:v>Expanded</c:v>
                  </c:pt>
                  <c:pt idx="1">
                    <c:v>Non-Expanded</c:v>
                  </c:pt>
                  <c:pt idx="2">
                    <c:v>Expanded</c:v>
                  </c:pt>
                  <c:pt idx="3">
                    <c:v>Non-Expanded</c:v>
                  </c:pt>
                </c:lvl>
                <c:lvl>
                  <c:pt idx="0">
                    <c:v>Tanpa Filtering</c:v>
                  </c:pt>
                  <c:pt idx="2">
                    <c:v>Dengan Filtering</c:v>
                  </c:pt>
                </c:lvl>
              </c:multiLvlStrCache>
            </c:multiLvlStrRef>
          </c:cat>
          <c:val>
            <c:numRef>
              <c:f>'Rekap (2)'!$C$8:$F$8</c:f>
              <c:numCache>
                <c:formatCode>General</c:formatCode>
                <c:ptCount val="4"/>
                <c:pt idx="0">
                  <c:v>66.44</c:v>
                </c:pt>
                <c:pt idx="1">
                  <c:v>47.428000000000004</c:v>
                </c:pt>
                <c:pt idx="2">
                  <c:v>86.907999999999987</c:v>
                </c:pt>
                <c:pt idx="3">
                  <c:v>71.584000000000003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9-447D-9A63-F880DF9DA1EB}"/>
            </c:ext>
          </c:extLst>
        </c:ser>
        <c:ser>
          <c:idx val="2"/>
          <c:order val="2"/>
          <c:tx>
            <c:v>F1-Score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'Rekap (2)'!$C$1:$F$2</c:f>
              <c:multiLvlStrCache>
                <c:ptCount val="4"/>
                <c:lvl>
                  <c:pt idx="0">
                    <c:v>Expanded</c:v>
                  </c:pt>
                  <c:pt idx="1">
                    <c:v>Non-Expanded</c:v>
                  </c:pt>
                  <c:pt idx="2">
                    <c:v>Expanded</c:v>
                  </c:pt>
                  <c:pt idx="3">
                    <c:v>Non-Expanded</c:v>
                  </c:pt>
                </c:lvl>
                <c:lvl>
                  <c:pt idx="0">
                    <c:v>Tanpa Filtering</c:v>
                  </c:pt>
                  <c:pt idx="2">
                    <c:v>Dengan Filtering</c:v>
                  </c:pt>
                </c:lvl>
              </c:multiLvlStrCache>
            </c:multiLvlStrRef>
          </c:cat>
          <c:val>
            <c:numRef>
              <c:f>'Rekap (2)'!$C$9:$F$9</c:f>
              <c:numCache>
                <c:formatCode>General</c:formatCode>
                <c:ptCount val="4"/>
                <c:pt idx="0">
                  <c:v>63.331999999999994</c:v>
                </c:pt>
                <c:pt idx="1">
                  <c:v>51.212000000000003</c:v>
                </c:pt>
                <c:pt idx="2">
                  <c:v>71.581999999999994</c:v>
                </c:pt>
                <c:pt idx="3">
                  <c:v>63.688000000000002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A9-447D-9A63-F880DF9DA1EB}"/>
            </c:ext>
          </c:extLst>
        </c:ser>
        <c:ser>
          <c:idx val="3"/>
          <c:order val="3"/>
          <c:tx>
            <c:v>Accuracy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'Rekap (2)'!$C$1:$F$2</c:f>
              <c:multiLvlStrCache>
                <c:ptCount val="4"/>
                <c:lvl>
                  <c:pt idx="0">
                    <c:v>Expanded</c:v>
                  </c:pt>
                  <c:pt idx="1">
                    <c:v>Non-Expanded</c:v>
                  </c:pt>
                  <c:pt idx="2">
                    <c:v>Expanded</c:v>
                  </c:pt>
                  <c:pt idx="3">
                    <c:v>Non-Expanded</c:v>
                  </c:pt>
                </c:lvl>
                <c:lvl>
                  <c:pt idx="0">
                    <c:v>Tanpa Filtering</c:v>
                  </c:pt>
                  <c:pt idx="2">
                    <c:v>Dengan Filtering</c:v>
                  </c:pt>
                </c:lvl>
              </c:multiLvlStrCache>
            </c:multiLvlStrRef>
          </c:cat>
          <c:val>
            <c:numRef>
              <c:f>'Rekap (2)'!$C$10:$F$10</c:f>
              <c:numCache>
                <c:formatCode>General</c:formatCode>
                <c:ptCount val="4"/>
                <c:pt idx="0">
                  <c:v>46.585999999999999</c:v>
                </c:pt>
                <c:pt idx="1">
                  <c:v>34.504000000000005</c:v>
                </c:pt>
                <c:pt idx="2">
                  <c:v>55.761999999999986</c:v>
                </c:pt>
                <c:pt idx="3">
                  <c:v>46.782000000000004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A9-447D-9A63-F880DF9DA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7702751"/>
        <c:axId val="148285471"/>
      </c:barChart>
      <c:catAx>
        <c:axId val="14770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85471"/>
        <c:crosses val="autoZero"/>
        <c:auto val="1"/>
        <c:lblAlgn val="ctr"/>
        <c:lblOffset val="100"/>
        <c:noMultiLvlLbl val="0"/>
      </c:catAx>
      <c:valAx>
        <c:axId val="1482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0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Rekap</a:t>
            </a:r>
            <a:r>
              <a:rPr lang="en-US" baseline="0"/>
              <a:t> Hasil UNAIR_IS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Precision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'Rekap (2)'!$C$1:$F$2</c:f>
              <c:multiLvlStrCache>
                <c:ptCount val="4"/>
                <c:lvl>
                  <c:pt idx="0">
                    <c:v>Expanded</c:v>
                  </c:pt>
                  <c:pt idx="1">
                    <c:v>Non-Expanded</c:v>
                  </c:pt>
                  <c:pt idx="2">
                    <c:v>Expanded</c:v>
                  </c:pt>
                  <c:pt idx="3">
                    <c:v>Non-Expanded</c:v>
                  </c:pt>
                </c:lvl>
                <c:lvl>
                  <c:pt idx="0">
                    <c:v>Tanpa Filtering</c:v>
                  </c:pt>
                  <c:pt idx="2">
                    <c:v>Dengan Filtering</c:v>
                  </c:pt>
                </c:lvl>
              </c:multiLvlStrCache>
            </c:multiLvlStrRef>
          </c:cat>
          <c:val>
            <c:numRef>
              <c:f>'Rekap (2)'!$C$3:$F$3</c:f>
              <c:numCache>
                <c:formatCode>General</c:formatCode>
                <c:ptCount val="4"/>
                <c:pt idx="0">
                  <c:v>23.03</c:v>
                </c:pt>
                <c:pt idx="1">
                  <c:v>24.802</c:v>
                </c:pt>
                <c:pt idx="2">
                  <c:v>18.172000000000004</c:v>
                </c:pt>
                <c:pt idx="3">
                  <c:v>19.84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F-4470-965A-22EDCDBAE970}"/>
            </c:ext>
          </c:extLst>
        </c:ser>
        <c:ser>
          <c:idx val="1"/>
          <c:order val="1"/>
          <c:tx>
            <c:v>Recall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'Rekap (2)'!$C$1:$F$2</c:f>
              <c:multiLvlStrCache>
                <c:ptCount val="4"/>
                <c:lvl>
                  <c:pt idx="0">
                    <c:v>Expanded</c:v>
                  </c:pt>
                  <c:pt idx="1">
                    <c:v>Non-Expanded</c:v>
                  </c:pt>
                  <c:pt idx="2">
                    <c:v>Expanded</c:v>
                  </c:pt>
                  <c:pt idx="3">
                    <c:v>Non-Expanded</c:v>
                  </c:pt>
                </c:lvl>
                <c:lvl>
                  <c:pt idx="0">
                    <c:v>Tanpa Filtering</c:v>
                  </c:pt>
                  <c:pt idx="2">
                    <c:v>Dengan Filtering</c:v>
                  </c:pt>
                </c:lvl>
              </c:multiLvlStrCache>
            </c:multiLvlStrRef>
          </c:cat>
          <c:val>
            <c:numRef>
              <c:f>'Rekap (2)'!$C$4:$F$4</c:f>
              <c:numCache>
                <c:formatCode>General</c:formatCode>
                <c:ptCount val="4"/>
                <c:pt idx="0">
                  <c:v>80.201999999999998</c:v>
                </c:pt>
                <c:pt idx="1">
                  <c:v>66.325999999999993</c:v>
                </c:pt>
                <c:pt idx="2">
                  <c:v>93.676000000000002</c:v>
                </c:pt>
                <c:pt idx="3">
                  <c:v>85.102000000000004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F-4470-965A-22EDCDBAE970}"/>
            </c:ext>
          </c:extLst>
        </c:ser>
        <c:ser>
          <c:idx val="2"/>
          <c:order val="2"/>
          <c:tx>
            <c:v>F1-Score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'Rekap (2)'!$C$1:$F$2</c:f>
              <c:multiLvlStrCache>
                <c:ptCount val="4"/>
                <c:lvl>
                  <c:pt idx="0">
                    <c:v>Expanded</c:v>
                  </c:pt>
                  <c:pt idx="1">
                    <c:v>Non-Expanded</c:v>
                  </c:pt>
                  <c:pt idx="2">
                    <c:v>Expanded</c:v>
                  </c:pt>
                  <c:pt idx="3">
                    <c:v>Non-Expanded</c:v>
                  </c:pt>
                </c:lvl>
                <c:lvl>
                  <c:pt idx="0">
                    <c:v>Tanpa Filtering</c:v>
                  </c:pt>
                  <c:pt idx="2">
                    <c:v>Dengan Filtering</c:v>
                  </c:pt>
                </c:lvl>
              </c:multiLvlStrCache>
            </c:multiLvlStrRef>
          </c:cat>
          <c:val>
            <c:numRef>
              <c:f>'Rekap (2)'!$C$5:$F$5</c:f>
              <c:numCache>
                <c:formatCode>General</c:formatCode>
                <c:ptCount val="4"/>
                <c:pt idx="0">
                  <c:v>35.657999999999994</c:v>
                </c:pt>
                <c:pt idx="1">
                  <c:v>35.998000000000005</c:v>
                </c:pt>
                <c:pt idx="2">
                  <c:v>30.411999999999999</c:v>
                </c:pt>
                <c:pt idx="3">
                  <c:v>32.119999999999997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F-4470-965A-22EDCDBAE970}"/>
            </c:ext>
          </c:extLst>
        </c:ser>
        <c:ser>
          <c:idx val="3"/>
          <c:order val="3"/>
          <c:tx>
            <c:v>Accuracy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'Rekap (2)'!$C$1:$F$2</c:f>
              <c:multiLvlStrCache>
                <c:ptCount val="4"/>
                <c:lvl>
                  <c:pt idx="0">
                    <c:v>Expanded</c:v>
                  </c:pt>
                  <c:pt idx="1">
                    <c:v>Non-Expanded</c:v>
                  </c:pt>
                  <c:pt idx="2">
                    <c:v>Expanded</c:v>
                  </c:pt>
                  <c:pt idx="3">
                    <c:v>Non-Expanded</c:v>
                  </c:pt>
                </c:lvl>
                <c:lvl>
                  <c:pt idx="0">
                    <c:v>Tanpa Filtering</c:v>
                  </c:pt>
                  <c:pt idx="2">
                    <c:v>Dengan Filtering</c:v>
                  </c:pt>
                </c:lvl>
              </c:multiLvlStrCache>
            </c:multiLvlStrRef>
          </c:cat>
          <c:val>
            <c:numRef>
              <c:f>'Rekap (2)'!$C$6:$F$6</c:f>
              <c:numCache>
                <c:formatCode>General</c:formatCode>
                <c:ptCount val="4"/>
                <c:pt idx="0">
                  <c:v>21.736000000000001</c:v>
                </c:pt>
                <c:pt idx="1">
                  <c:v>21.986000000000001</c:v>
                </c:pt>
                <c:pt idx="2">
                  <c:v>17.942</c:v>
                </c:pt>
                <c:pt idx="3">
                  <c:v>19.145999999999997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BF-4470-965A-22EDCDBAE9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06330063"/>
        <c:axId val="1502197263"/>
      </c:barChart>
      <c:catAx>
        <c:axId val="150633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197263"/>
        <c:crosses val="autoZero"/>
        <c:auto val="1"/>
        <c:lblAlgn val="ctr"/>
        <c:lblOffset val="100"/>
        <c:noMultiLvlLbl val="0"/>
      </c:catAx>
      <c:valAx>
        <c:axId val="15021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3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10</xdr:row>
      <xdr:rowOff>0</xdr:rowOff>
    </xdr:from>
    <xdr:to>
      <xdr:col>15</xdr:col>
      <xdr:colOff>68580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C7F4E9-0781-442E-8EB6-B5C5595D8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15240</xdr:rowOff>
    </xdr:from>
    <xdr:to>
      <xdr:col>5</xdr:col>
      <xdr:colOff>30480</xdr:colOff>
      <xdr:row>28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54D515-91B5-4505-A9CE-16AC3C988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11</xdr:row>
      <xdr:rowOff>175260</xdr:rowOff>
    </xdr:from>
    <xdr:to>
      <xdr:col>18</xdr:col>
      <xdr:colOff>525780</xdr:colOff>
      <xdr:row>32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FBB6F-3A32-4411-A96E-211D87D84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7</xdr:col>
      <xdr:colOff>312420</xdr:colOff>
      <xdr:row>32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09048E-22E8-41BF-9F0E-9AB1B98BA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D0DC-44FF-432F-8857-D78349F208AB}">
  <dimension ref="A1:V25"/>
  <sheetViews>
    <sheetView tabSelected="1" zoomScale="74" workbookViewId="0">
      <selection activeCell="L3" sqref="L3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  <col min="13" max="13" width="15.5546875" customWidth="1"/>
    <col min="14" max="14" width="16.6640625" customWidth="1"/>
    <col min="15" max="15" width="10.21875" customWidth="1"/>
    <col min="19" max="19" width="12" customWidth="1"/>
    <col min="20" max="20" width="9.5546875" customWidth="1"/>
    <col min="21" max="21" width="12" customWidth="1"/>
    <col min="22" max="22" width="12.44140625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3" t="s">
        <v>0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9</v>
      </c>
    </row>
    <row r="2" spans="1:22" x14ac:dyDescent="0.3">
      <c r="A2" s="1" t="s">
        <v>10</v>
      </c>
      <c r="B2" s="1" t="s">
        <v>11</v>
      </c>
      <c r="C2" s="1" t="b">
        <v>0</v>
      </c>
      <c r="D2" s="1">
        <v>87</v>
      </c>
      <c r="E2" s="1">
        <v>363</v>
      </c>
      <c r="F2" s="1">
        <v>11</v>
      </c>
      <c r="G2" s="1">
        <v>19.329999999999998</v>
      </c>
      <c r="H2" s="1">
        <v>88.78</v>
      </c>
      <c r="I2" s="1">
        <v>31.75</v>
      </c>
      <c r="J2" s="1">
        <v>18.87</v>
      </c>
      <c r="M2" s="1" t="s">
        <v>10</v>
      </c>
      <c r="N2" s="1" t="s">
        <v>11</v>
      </c>
      <c r="O2" s="1" t="b">
        <v>0</v>
      </c>
      <c r="P2" s="1">
        <v>76</v>
      </c>
      <c r="Q2" s="1">
        <v>224</v>
      </c>
      <c r="R2" s="1">
        <v>22</v>
      </c>
      <c r="S2" s="1">
        <v>25.33</v>
      </c>
      <c r="T2" s="1">
        <v>77.55</v>
      </c>
      <c r="U2" s="1">
        <v>38.19</v>
      </c>
      <c r="V2" s="1">
        <v>23.6</v>
      </c>
    </row>
    <row r="3" spans="1:22" x14ac:dyDescent="0.3">
      <c r="A3" s="1" t="s">
        <v>10</v>
      </c>
      <c r="B3" s="1" t="s">
        <v>11</v>
      </c>
      <c r="C3" s="1" t="b">
        <v>1</v>
      </c>
      <c r="D3" s="1">
        <v>92</v>
      </c>
      <c r="E3" s="1">
        <v>435</v>
      </c>
      <c r="F3" s="1">
        <v>6</v>
      </c>
      <c r="G3" s="1">
        <v>17.46</v>
      </c>
      <c r="H3" s="1">
        <v>93.88</v>
      </c>
      <c r="I3" s="1">
        <v>29.44</v>
      </c>
      <c r="J3" s="1">
        <v>17.260000000000002</v>
      </c>
      <c r="M3" s="1" t="s">
        <v>10</v>
      </c>
      <c r="N3" s="1" t="s">
        <v>11</v>
      </c>
      <c r="O3" s="1" t="b">
        <v>1</v>
      </c>
      <c r="P3" s="1">
        <v>84</v>
      </c>
      <c r="Q3" s="1">
        <v>299</v>
      </c>
      <c r="R3" s="1">
        <v>14</v>
      </c>
      <c r="S3" s="1">
        <v>21.93</v>
      </c>
      <c r="T3" s="1">
        <v>85.71</v>
      </c>
      <c r="U3" s="1">
        <v>34.93</v>
      </c>
      <c r="V3" s="1">
        <v>21.16</v>
      </c>
    </row>
    <row r="4" spans="1:22" x14ac:dyDescent="0.3">
      <c r="A4" s="1" t="s">
        <v>10</v>
      </c>
      <c r="B4" s="1" t="s">
        <v>12</v>
      </c>
      <c r="C4" s="1" t="b">
        <v>0</v>
      </c>
      <c r="D4" s="1">
        <v>86</v>
      </c>
      <c r="E4" s="1">
        <v>406</v>
      </c>
      <c r="F4" s="1">
        <v>12</v>
      </c>
      <c r="G4" s="1">
        <v>17.48</v>
      </c>
      <c r="H4" s="1">
        <v>87.76</v>
      </c>
      <c r="I4" s="1">
        <v>29.15</v>
      </c>
      <c r="J4" s="1">
        <v>17.059999999999999</v>
      </c>
      <c r="M4" s="1" t="s">
        <v>10</v>
      </c>
      <c r="N4" s="1" t="s">
        <v>12</v>
      </c>
      <c r="O4" s="1" t="b">
        <v>0</v>
      </c>
      <c r="P4" s="1">
        <v>59</v>
      </c>
      <c r="Q4" s="1">
        <v>233</v>
      </c>
      <c r="R4" s="1">
        <v>39</v>
      </c>
      <c r="S4" s="1">
        <v>20.21</v>
      </c>
      <c r="T4" s="1">
        <v>60.2</v>
      </c>
      <c r="U4" s="1">
        <v>30.26</v>
      </c>
      <c r="V4" s="1">
        <v>17.82</v>
      </c>
    </row>
    <row r="5" spans="1:22" x14ac:dyDescent="0.3">
      <c r="A5" s="1" t="s">
        <v>10</v>
      </c>
      <c r="B5" s="1" t="s">
        <v>12</v>
      </c>
      <c r="C5" s="1" t="b">
        <v>1</v>
      </c>
      <c r="D5" s="1">
        <v>95</v>
      </c>
      <c r="E5" s="1">
        <v>479</v>
      </c>
      <c r="F5" s="1">
        <v>3</v>
      </c>
      <c r="G5" s="1">
        <v>16.55</v>
      </c>
      <c r="H5" s="1">
        <v>96.94</v>
      </c>
      <c r="I5" s="1">
        <v>28.27</v>
      </c>
      <c r="J5" s="1">
        <v>16.46</v>
      </c>
      <c r="M5" s="1" t="s">
        <v>10</v>
      </c>
      <c r="N5" s="1" t="s">
        <v>12</v>
      </c>
      <c r="O5" s="1" t="b">
        <v>1</v>
      </c>
      <c r="P5" s="1">
        <v>80</v>
      </c>
      <c r="Q5" s="1">
        <v>340</v>
      </c>
      <c r="R5" s="1">
        <v>18</v>
      </c>
      <c r="S5" s="1">
        <v>19.05</v>
      </c>
      <c r="T5" s="1">
        <v>81.63</v>
      </c>
      <c r="U5" s="1">
        <v>30.89</v>
      </c>
      <c r="V5" s="1">
        <v>18.260000000000002</v>
      </c>
    </row>
    <row r="6" spans="1:22" x14ac:dyDescent="0.3">
      <c r="A6" s="1" t="s">
        <v>10</v>
      </c>
      <c r="B6" s="1" t="s">
        <v>13</v>
      </c>
      <c r="C6" s="1" t="b">
        <v>0</v>
      </c>
      <c r="D6" s="1">
        <v>79</v>
      </c>
      <c r="E6" s="1">
        <v>276</v>
      </c>
      <c r="F6" s="1">
        <v>19</v>
      </c>
      <c r="G6" s="1">
        <v>22.25</v>
      </c>
      <c r="H6" s="1">
        <v>80.61</v>
      </c>
      <c r="I6" s="1">
        <v>34.880000000000003</v>
      </c>
      <c r="J6" s="1">
        <v>21.12</v>
      </c>
      <c r="M6" s="1" t="s">
        <v>10</v>
      </c>
      <c r="N6" s="1" t="s">
        <v>13</v>
      </c>
      <c r="O6" s="1" t="b">
        <v>0</v>
      </c>
      <c r="P6" s="1">
        <v>67</v>
      </c>
      <c r="Q6" s="1">
        <v>183</v>
      </c>
      <c r="R6" s="1">
        <v>31</v>
      </c>
      <c r="S6" s="1">
        <v>26.8</v>
      </c>
      <c r="T6" s="1">
        <v>68.37</v>
      </c>
      <c r="U6" s="1">
        <v>38.51</v>
      </c>
      <c r="V6" s="1">
        <v>23.84</v>
      </c>
    </row>
    <row r="7" spans="1:22" x14ac:dyDescent="0.3">
      <c r="A7" s="1" t="s">
        <v>10</v>
      </c>
      <c r="B7" s="1" t="s">
        <v>13</v>
      </c>
      <c r="C7" s="1" t="b">
        <v>1</v>
      </c>
      <c r="D7" s="1">
        <v>90</v>
      </c>
      <c r="E7" s="1">
        <v>361</v>
      </c>
      <c r="F7" s="1">
        <v>8</v>
      </c>
      <c r="G7" s="1">
        <v>19.96</v>
      </c>
      <c r="H7" s="1">
        <v>91.84</v>
      </c>
      <c r="I7" s="1">
        <v>32.79</v>
      </c>
      <c r="J7" s="1">
        <v>19.61</v>
      </c>
      <c r="M7" s="1" t="s">
        <v>10</v>
      </c>
      <c r="N7" s="1" t="s">
        <v>13</v>
      </c>
      <c r="O7" s="1" t="b">
        <v>1</v>
      </c>
      <c r="P7" s="1">
        <v>78</v>
      </c>
      <c r="Q7" s="1">
        <v>217</v>
      </c>
      <c r="R7" s="1">
        <v>20</v>
      </c>
      <c r="S7" s="1">
        <v>26.44</v>
      </c>
      <c r="T7" s="1">
        <v>79.59</v>
      </c>
      <c r="U7" s="1">
        <v>39.69</v>
      </c>
      <c r="V7" s="1">
        <v>24.76</v>
      </c>
    </row>
    <row r="8" spans="1:22" x14ac:dyDescent="0.3">
      <c r="A8" s="1" t="s">
        <v>10</v>
      </c>
      <c r="B8" s="1" t="s">
        <v>14</v>
      </c>
      <c r="C8" s="1" t="b">
        <v>0</v>
      </c>
      <c r="D8" s="1">
        <v>85</v>
      </c>
      <c r="E8" s="1">
        <v>338</v>
      </c>
      <c r="F8" s="1">
        <v>13</v>
      </c>
      <c r="G8" s="1">
        <v>20.09</v>
      </c>
      <c r="H8" s="1">
        <v>86.73</v>
      </c>
      <c r="I8" s="1">
        <v>32.630000000000003</v>
      </c>
      <c r="J8" s="1">
        <v>19.5</v>
      </c>
      <c r="M8" s="1" t="s">
        <v>10</v>
      </c>
      <c r="N8" s="1" t="s">
        <v>14</v>
      </c>
      <c r="O8" s="1" t="b">
        <v>0</v>
      </c>
      <c r="P8" s="1">
        <v>56</v>
      </c>
      <c r="Q8" s="1">
        <v>157</v>
      </c>
      <c r="R8" s="1">
        <v>42</v>
      </c>
      <c r="S8" s="1">
        <v>26.29</v>
      </c>
      <c r="T8" s="1">
        <v>57.14</v>
      </c>
      <c r="U8" s="1">
        <v>36.01</v>
      </c>
      <c r="V8" s="1">
        <v>21.96</v>
      </c>
    </row>
    <row r="9" spans="1:22" x14ac:dyDescent="0.3">
      <c r="A9" s="1" t="s">
        <v>10</v>
      </c>
      <c r="B9" s="1" t="s">
        <v>14</v>
      </c>
      <c r="C9" s="1" t="b">
        <v>1</v>
      </c>
      <c r="D9" s="1">
        <v>95</v>
      </c>
      <c r="E9" s="1">
        <v>411</v>
      </c>
      <c r="F9" s="1">
        <v>3</v>
      </c>
      <c r="G9" s="1">
        <v>18.77</v>
      </c>
      <c r="H9" s="1">
        <v>96.94</v>
      </c>
      <c r="I9" s="1">
        <v>31.46</v>
      </c>
      <c r="J9" s="1">
        <v>18.66</v>
      </c>
      <c r="M9" s="1" t="s">
        <v>10</v>
      </c>
      <c r="N9" s="1" t="s">
        <v>14</v>
      </c>
      <c r="O9" s="1" t="b">
        <v>1</v>
      </c>
      <c r="P9" s="1">
        <v>68</v>
      </c>
      <c r="Q9" s="1">
        <v>221</v>
      </c>
      <c r="R9" s="1">
        <v>30</v>
      </c>
      <c r="S9" s="1">
        <v>23.53</v>
      </c>
      <c r="T9" s="1">
        <v>69.39</v>
      </c>
      <c r="U9" s="1">
        <v>35.14</v>
      </c>
      <c r="V9" s="1">
        <v>21.32</v>
      </c>
    </row>
    <row r="10" spans="1:22" x14ac:dyDescent="0.3">
      <c r="A10" s="1" t="s">
        <v>10</v>
      </c>
      <c r="B10" s="1" t="s">
        <v>15</v>
      </c>
      <c r="C10" s="1" t="b">
        <v>0</v>
      </c>
      <c r="D10" s="1">
        <v>80</v>
      </c>
      <c r="E10" s="1">
        <v>319</v>
      </c>
      <c r="F10" s="1">
        <v>18</v>
      </c>
      <c r="G10" s="1">
        <v>20.05</v>
      </c>
      <c r="H10" s="1">
        <v>81.63</v>
      </c>
      <c r="I10" s="1">
        <v>32.19</v>
      </c>
      <c r="J10" s="1">
        <v>19.18</v>
      </c>
      <c r="M10" s="1" t="s">
        <v>10</v>
      </c>
      <c r="N10" s="1" t="s">
        <v>15</v>
      </c>
      <c r="O10" s="1" t="b">
        <v>0</v>
      </c>
      <c r="P10" s="1">
        <v>67</v>
      </c>
      <c r="Q10" s="1">
        <v>197</v>
      </c>
      <c r="R10" s="1">
        <v>31</v>
      </c>
      <c r="S10" s="1">
        <v>25.38</v>
      </c>
      <c r="T10" s="1">
        <v>68.37</v>
      </c>
      <c r="U10" s="1">
        <v>37.020000000000003</v>
      </c>
      <c r="V10" s="1">
        <v>22.71</v>
      </c>
    </row>
    <row r="11" spans="1:22" x14ac:dyDescent="0.3">
      <c r="A11" s="1" t="s">
        <v>10</v>
      </c>
      <c r="B11" s="1" t="s">
        <v>15</v>
      </c>
      <c r="C11" s="1" t="b">
        <v>1</v>
      </c>
      <c r="D11" s="1">
        <v>87</v>
      </c>
      <c r="E11" s="1">
        <v>393</v>
      </c>
      <c r="F11" s="1">
        <v>11</v>
      </c>
      <c r="G11" s="1">
        <v>18.12</v>
      </c>
      <c r="H11" s="1">
        <v>88.78</v>
      </c>
      <c r="I11" s="1">
        <v>30.1</v>
      </c>
      <c r="J11" s="1">
        <v>17.72</v>
      </c>
      <c r="M11" s="1" t="s">
        <v>10</v>
      </c>
      <c r="N11" s="1" t="s">
        <v>15</v>
      </c>
      <c r="O11" s="1" t="b">
        <v>1</v>
      </c>
      <c r="P11" s="1">
        <v>83</v>
      </c>
      <c r="Q11" s="1">
        <v>260</v>
      </c>
      <c r="R11" s="1">
        <v>15</v>
      </c>
      <c r="S11" s="1">
        <v>24.2</v>
      </c>
      <c r="T11" s="1">
        <v>84.69</v>
      </c>
      <c r="U11" s="1">
        <v>37.64</v>
      </c>
      <c r="V11" s="1">
        <v>23.18</v>
      </c>
    </row>
    <row r="12" spans="1:22" x14ac:dyDescent="0.3">
      <c r="G12" s="2">
        <f>AVERAGE(G2:G11)</f>
        <v>19.006000000000004</v>
      </c>
      <c r="H12" s="2">
        <f>AVERAGE(H2:H11)</f>
        <v>89.388999999999996</v>
      </c>
      <c r="I12" s="2">
        <f>AVERAGE(I2:I11)</f>
        <v>31.266000000000002</v>
      </c>
      <c r="J12" s="2">
        <f>AVERAGE(J2:J11)</f>
        <v>18.544</v>
      </c>
      <c r="S12" s="2">
        <f>AVERAGE(S2:S11)</f>
        <v>23.915999999999997</v>
      </c>
      <c r="T12" s="2">
        <f t="shared" ref="T12:V12" si="0">AVERAGE(T2:T11)</f>
        <v>73.263999999999982</v>
      </c>
      <c r="U12" s="2">
        <f t="shared" si="0"/>
        <v>35.827999999999996</v>
      </c>
      <c r="V12" s="2">
        <f t="shared" si="0"/>
        <v>21.861000000000001</v>
      </c>
    </row>
    <row r="14" spans="1:22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M14" s="3" t="s">
        <v>0</v>
      </c>
      <c r="N14" s="3" t="s">
        <v>1</v>
      </c>
      <c r="O14" s="3" t="s">
        <v>2</v>
      </c>
      <c r="P14" s="3" t="s">
        <v>3</v>
      </c>
      <c r="Q14" s="3" t="s">
        <v>4</v>
      </c>
      <c r="R14" s="3" t="s">
        <v>5</v>
      </c>
      <c r="S14" s="3" t="s">
        <v>6</v>
      </c>
      <c r="T14" s="3" t="s">
        <v>7</v>
      </c>
      <c r="U14" s="3" t="s">
        <v>8</v>
      </c>
      <c r="V14" s="3" t="s">
        <v>9</v>
      </c>
    </row>
    <row r="15" spans="1:22" x14ac:dyDescent="0.3">
      <c r="A15" s="1" t="s">
        <v>16</v>
      </c>
      <c r="B15" s="1" t="s">
        <v>11</v>
      </c>
      <c r="C15" s="1" t="b">
        <v>0</v>
      </c>
      <c r="D15" s="1">
        <v>291</v>
      </c>
      <c r="E15" s="1">
        <v>208</v>
      </c>
      <c r="F15" s="1">
        <v>94</v>
      </c>
      <c r="G15" s="1">
        <v>58.32</v>
      </c>
      <c r="H15" s="1">
        <v>75.58</v>
      </c>
      <c r="I15" s="1">
        <v>65.84</v>
      </c>
      <c r="J15" s="1">
        <v>49.07</v>
      </c>
      <c r="M15" s="1" t="s">
        <v>16</v>
      </c>
      <c r="N15" s="1" t="s">
        <v>11</v>
      </c>
      <c r="O15" s="1" t="b">
        <v>0</v>
      </c>
      <c r="P15" s="1">
        <v>204</v>
      </c>
      <c r="Q15" s="1">
        <v>150</v>
      </c>
      <c r="R15" s="1">
        <v>181</v>
      </c>
      <c r="S15" s="1">
        <v>57.63</v>
      </c>
      <c r="T15" s="1">
        <v>52.99</v>
      </c>
      <c r="U15" s="1">
        <v>55.21</v>
      </c>
      <c r="V15" s="1">
        <v>38.130000000000003</v>
      </c>
    </row>
    <row r="16" spans="1:22" x14ac:dyDescent="0.3">
      <c r="A16" s="1" t="s">
        <v>16</v>
      </c>
      <c r="B16" s="1" t="s">
        <v>11</v>
      </c>
      <c r="C16" s="1" t="b">
        <v>1</v>
      </c>
      <c r="D16" s="1">
        <v>340</v>
      </c>
      <c r="E16" s="1">
        <v>216</v>
      </c>
      <c r="F16" s="1">
        <v>45</v>
      </c>
      <c r="G16" s="1">
        <v>61.15</v>
      </c>
      <c r="H16" s="1">
        <v>88.31</v>
      </c>
      <c r="I16" s="1">
        <v>72.260000000000005</v>
      </c>
      <c r="J16" s="1">
        <v>56.57</v>
      </c>
      <c r="M16" s="1" t="s">
        <v>16</v>
      </c>
      <c r="N16" s="1" t="s">
        <v>11</v>
      </c>
      <c r="O16" s="1" t="b">
        <v>1</v>
      </c>
      <c r="P16" s="1">
        <v>268</v>
      </c>
      <c r="Q16" s="1">
        <v>171</v>
      </c>
      <c r="R16" s="1">
        <v>117</v>
      </c>
      <c r="S16" s="1">
        <v>61.05</v>
      </c>
      <c r="T16" s="1">
        <v>69.61</v>
      </c>
      <c r="U16" s="1">
        <v>65.05</v>
      </c>
      <c r="V16" s="1">
        <v>48.2</v>
      </c>
    </row>
    <row r="17" spans="1:22" x14ac:dyDescent="0.3">
      <c r="A17" s="1" t="s">
        <v>16</v>
      </c>
      <c r="B17" s="1" t="s">
        <v>12</v>
      </c>
      <c r="C17" s="1" t="b">
        <v>0</v>
      </c>
      <c r="D17" s="1">
        <v>313</v>
      </c>
      <c r="E17" s="1">
        <v>242</v>
      </c>
      <c r="F17" s="1">
        <v>72</v>
      </c>
      <c r="G17" s="1">
        <v>56.4</v>
      </c>
      <c r="H17" s="1">
        <v>81.3</v>
      </c>
      <c r="I17" s="1">
        <v>66.599999999999994</v>
      </c>
      <c r="J17" s="1">
        <v>49.92</v>
      </c>
      <c r="M17" s="1" t="s">
        <v>16</v>
      </c>
      <c r="N17" s="1" t="s">
        <v>12</v>
      </c>
      <c r="O17" s="1" t="b">
        <v>0</v>
      </c>
      <c r="P17" s="1">
        <v>221</v>
      </c>
      <c r="Q17" s="1">
        <v>192</v>
      </c>
      <c r="R17" s="1">
        <v>164</v>
      </c>
      <c r="S17" s="1">
        <v>53.51</v>
      </c>
      <c r="T17" s="1">
        <v>57.4</v>
      </c>
      <c r="U17" s="1">
        <v>55.39</v>
      </c>
      <c r="V17" s="1">
        <v>38.299999999999997</v>
      </c>
    </row>
    <row r="18" spans="1:22" x14ac:dyDescent="0.3">
      <c r="A18" s="1" t="s">
        <v>16</v>
      </c>
      <c r="B18" s="1" t="s">
        <v>12</v>
      </c>
      <c r="C18" s="1" t="b">
        <v>1</v>
      </c>
      <c r="D18" s="1">
        <v>365</v>
      </c>
      <c r="E18" s="1">
        <v>249</v>
      </c>
      <c r="F18" s="1">
        <v>20</v>
      </c>
      <c r="G18" s="1">
        <v>59.45</v>
      </c>
      <c r="H18" s="1">
        <v>94.81</v>
      </c>
      <c r="I18" s="1">
        <v>73.069999999999993</v>
      </c>
      <c r="J18" s="1">
        <v>57.57</v>
      </c>
      <c r="M18" s="1" t="s">
        <v>16</v>
      </c>
      <c r="N18" s="1" t="s">
        <v>12</v>
      </c>
      <c r="O18" s="1" t="b">
        <v>1</v>
      </c>
      <c r="P18" s="1">
        <v>342</v>
      </c>
      <c r="Q18" s="1">
        <v>208</v>
      </c>
      <c r="R18" s="1">
        <v>43</v>
      </c>
      <c r="S18" s="1">
        <v>62.18</v>
      </c>
      <c r="T18" s="1">
        <v>88.83</v>
      </c>
      <c r="U18" s="1">
        <v>73.16</v>
      </c>
      <c r="V18" s="1">
        <v>57.67</v>
      </c>
    </row>
    <row r="19" spans="1:22" x14ac:dyDescent="0.3">
      <c r="A19" s="1" t="s">
        <v>16</v>
      </c>
      <c r="B19" s="1" t="s">
        <v>13</v>
      </c>
      <c r="C19" s="1" t="b">
        <v>0</v>
      </c>
      <c r="D19" s="1">
        <v>234</v>
      </c>
      <c r="E19" s="1">
        <v>175</v>
      </c>
      <c r="F19" s="1">
        <v>151</v>
      </c>
      <c r="G19" s="1">
        <v>57.21</v>
      </c>
      <c r="H19" s="1">
        <v>60.78</v>
      </c>
      <c r="I19" s="1">
        <v>58.94</v>
      </c>
      <c r="J19" s="1">
        <v>41.79</v>
      </c>
      <c r="M19" s="1" t="s">
        <v>16</v>
      </c>
      <c r="N19" s="1" t="s">
        <v>13</v>
      </c>
      <c r="O19" s="1" t="b">
        <v>0</v>
      </c>
      <c r="P19" s="1">
        <v>162</v>
      </c>
      <c r="Q19" s="1">
        <v>127</v>
      </c>
      <c r="R19" s="1">
        <v>223</v>
      </c>
      <c r="S19" s="1">
        <v>56.06</v>
      </c>
      <c r="T19" s="1">
        <v>42.08</v>
      </c>
      <c r="U19" s="1">
        <v>48.07</v>
      </c>
      <c r="V19" s="1">
        <v>31.64</v>
      </c>
    </row>
    <row r="20" spans="1:22" x14ac:dyDescent="0.3">
      <c r="A20" s="1" t="s">
        <v>16</v>
      </c>
      <c r="B20" s="1" t="s">
        <v>13</v>
      </c>
      <c r="C20" s="1" t="b">
        <v>1</v>
      </c>
      <c r="D20" s="1">
        <v>304</v>
      </c>
      <c r="E20" s="1">
        <v>192</v>
      </c>
      <c r="F20" s="1">
        <v>81</v>
      </c>
      <c r="G20" s="1">
        <v>61.29</v>
      </c>
      <c r="H20" s="1">
        <v>78.959999999999994</v>
      </c>
      <c r="I20" s="1">
        <v>69.010000000000005</v>
      </c>
      <c r="J20" s="1">
        <v>52.69</v>
      </c>
      <c r="M20" s="1" t="s">
        <v>16</v>
      </c>
      <c r="N20" s="1" t="s">
        <v>13</v>
      </c>
      <c r="O20" s="1" t="b">
        <v>1</v>
      </c>
      <c r="P20" s="1">
        <v>213</v>
      </c>
      <c r="Q20" s="1">
        <v>147</v>
      </c>
      <c r="R20" s="1">
        <v>172</v>
      </c>
      <c r="S20" s="1">
        <v>59.17</v>
      </c>
      <c r="T20" s="1">
        <v>55.32</v>
      </c>
      <c r="U20" s="1">
        <v>57.18</v>
      </c>
      <c r="V20" s="1">
        <v>40.04</v>
      </c>
    </row>
    <row r="21" spans="1:22" x14ac:dyDescent="0.3">
      <c r="A21" s="1" t="s">
        <v>16</v>
      </c>
      <c r="B21" s="1" t="s">
        <v>14</v>
      </c>
      <c r="C21" s="1" t="b">
        <v>0</v>
      </c>
      <c r="D21" s="1">
        <v>275</v>
      </c>
      <c r="E21" s="1">
        <v>190</v>
      </c>
      <c r="F21" s="1">
        <v>110</v>
      </c>
      <c r="G21" s="1">
        <v>59.14</v>
      </c>
      <c r="H21" s="1">
        <v>71.430000000000007</v>
      </c>
      <c r="I21" s="1">
        <v>64.709999999999994</v>
      </c>
      <c r="J21" s="1">
        <v>47.83</v>
      </c>
      <c r="M21" s="1" t="s">
        <v>16</v>
      </c>
      <c r="N21" s="1" t="s">
        <v>14</v>
      </c>
      <c r="O21" s="1" t="b">
        <v>0</v>
      </c>
      <c r="P21" s="1">
        <v>150</v>
      </c>
      <c r="Q21" s="1">
        <v>116</v>
      </c>
      <c r="R21" s="1">
        <v>235</v>
      </c>
      <c r="S21" s="1">
        <v>56.39</v>
      </c>
      <c r="T21" s="1">
        <v>38.96</v>
      </c>
      <c r="U21" s="1">
        <v>46.08</v>
      </c>
      <c r="V21" s="1">
        <v>29.94</v>
      </c>
    </row>
    <row r="22" spans="1:22" x14ac:dyDescent="0.3">
      <c r="A22" s="1" t="s">
        <v>16</v>
      </c>
      <c r="B22" s="1" t="s">
        <v>14</v>
      </c>
      <c r="C22" s="1" t="b">
        <v>1</v>
      </c>
      <c r="D22" s="1">
        <v>333</v>
      </c>
      <c r="E22" s="1">
        <v>204</v>
      </c>
      <c r="F22" s="1">
        <v>52</v>
      </c>
      <c r="G22" s="1">
        <v>62.01</v>
      </c>
      <c r="H22" s="1">
        <v>86.49</v>
      </c>
      <c r="I22" s="1">
        <v>72.23</v>
      </c>
      <c r="J22" s="1">
        <v>56.54</v>
      </c>
      <c r="M22" s="1" t="s">
        <v>16</v>
      </c>
      <c r="N22" s="1" t="s">
        <v>14</v>
      </c>
      <c r="O22" s="1" t="b">
        <v>1</v>
      </c>
      <c r="P22" s="1">
        <v>225</v>
      </c>
      <c r="Q22" s="1">
        <v>139</v>
      </c>
      <c r="R22" s="1">
        <v>160</v>
      </c>
      <c r="S22" s="1">
        <v>61.81</v>
      </c>
      <c r="T22" s="1">
        <v>58.44</v>
      </c>
      <c r="U22" s="1">
        <v>60.08</v>
      </c>
      <c r="V22" s="1">
        <v>42.94</v>
      </c>
    </row>
    <row r="23" spans="1:22" x14ac:dyDescent="0.3">
      <c r="A23" s="1" t="s">
        <v>16</v>
      </c>
      <c r="B23" s="1" t="s">
        <v>15</v>
      </c>
      <c r="C23" s="1" t="b">
        <v>0</v>
      </c>
      <c r="D23" s="1">
        <v>265</v>
      </c>
      <c r="E23" s="1">
        <v>200</v>
      </c>
      <c r="F23" s="1">
        <v>120</v>
      </c>
      <c r="G23" s="1">
        <v>56.99</v>
      </c>
      <c r="H23" s="1">
        <v>68.83</v>
      </c>
      <c r="I23" s="1">
        <v>62.35</v>
      </c>
      <c r="J23" s="1">
        <v>45.3</v>
      </c>
      <c r="M23" s="1" t="s">
        <v>16</v>
      </c>
      <c r="N23" s="1" t="s">
        <v>15</v>
      </c>
      <c r="O23" s="1" t="b">
        <v>0</v>
      </c>
      <c r="P23" s="1">
        <v>176</v>
      </c>
      <c r="Q23" s="1">
        <v>125</v>
      </c>
      <c r="R23" s="1">
        <v>209</v>
      </c>
      <c r="S23" s="1">
        <v>58.47</v>
      </c>
      <c r="T23" s="1">
        <v>45.71</v>
      </c>
      <c r="U23" s="1">
        <v>51.31</v>
      </c>
      <c r="V23" s="1">
        <v>34.51</v>
      </c>
    </row>
    <row r="24" spans="1:22" x14ac:dyDescent="0.3">
      <c r="A24" s="1" t="s">
        <v>16</v>
      </c>
      <c r="B24" s="1" t="s">
        <v>15</v>
      </c>
      <c r="C24" s="1" t="b">
        <v>1</v>
      </c>
      <c r="D24" s="1">
        <v>331</v>
      </c>
      <c r="E24" s="1">
        <v>212</v>
      </c>
      <c r="F24" s="1">
        <v>54</v>
      </c>
      <c r="G24" s="1">
        <v>60.96</v>
      </c>
      <c r="H24" s="1">
        <v>85.97</v>
      </c>
      <c r="I24" s="1">
        <v>71.34</v>
      </c>
      <c r="J24" s="1">
        <v>55.44</v>
      </c>
      <c r="M24" s="1" t="s">
        <v>16</v>
      </c>
      <c r="N24" s="1" t="s">
        <v>15</v>
      </c>
      <c r="O24" s="1" t="b">
        <v>1</v>
      </c>
      <c r="P24" s="1">
        <v>231</v>
      </c>
      <c r="Q24" s="1">
        <v>139</v>
      </c>
      <c r="R24" s="1">
        <v>154</v>
      </c>
      <c r="S24" s="1">
        <v>62.43</v>
      </c>
      <c r="T24" s="1">
        <v>60</v>
      </c>
      <c r="U24" s="1">
        <v>61.19</v>
      </c>
      <c r="V24" s="1">
        <v>44.08</v>
      </c>
    </row>
    <row r="25" spans="1:22" x14ac:dyDescent="0.3">
      <c r="G25" s="2">
        <f>AVERAGE(G15:G24)</f>
        <v>59.291999999999994</v>
      </c>
      <c r="H25" s="2">
        <f>AVERAGE(H15:H24)</f>
        <v>79.246000000000009</v>
      </c>
      <c r="I25" s="2">
        <f>AVERAGE(I15:I24)</f>
        <v>67.635000000000005</v>
      </c>
      <c r="J25" s="2">
        <f>AVERAGE(J15:J24)</f>
        <v>51.272000000000006</v>
      </c>
      <c r="S25" s="2">
        <f>AVERAGE(S15:S24)</f>
        <v>58.86999999999999</v>
      </c>
      <c r="T25" s="2">
        <f t="shared" ref="T25" si="1">AVERAGE(T15:T24)</f>
        <v>56.93399999999999</v>
      </c>
      <c r="U25" s="2">
        <f t="shared" ref="U25" si="2">AVERAGE(U15:U24)</f>
        <v>57.272000000000006</v>
      </c>
      <c r="V25" s="2">
        <f t="shared" ref="V25" si="3">AVERAGE(V15:V24)</f>
        <v>40.545000000000002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60BC-747B-4CBB-A26E-19F973642F88}">
  <dimension ref="A1:V33"/>
  <sheetViews>
    <sheetView topLeftCell="C1" zoomScale="95" zoomScaleNormal="65" workbookViewId="0">
      <selection activeCell="S33" sqref="S33:W33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  <col min="13" max="13" width="15.5546875" customWidth="1"/>
    <col min="14" max="14" width="16.6640625" customWidth="1"/>
    <col min="15" max="15" width="10.21875" customWidth="1"/>
    <col min="19" max="19" width="12" customWidth="1"/>
    <col min="20" max="20" width="9.5546875" customWidth="1"/>
    <col min="21" max="21" width="12" customWidth="1"/>
    <col min="22" max="22" width="12.44140625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3" t="s">
        <v>0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9</v>
      </c>
    </row>
    <row r="2" spans="1:22" x14ac:dyDescent="0.3">
      <c r="A2" s="1" t="s">
        <v>10</v>
      </c>
      <c r="B2" s="1" t="s">
        <v>11</v>
      </c>
      <c r="C2" s="1" t="b">
        <v>0</v>
      </c>
      <c r="D2" s="1">
        <v>87</v>
      </c>
      <c r="E2" s="1">
        <v>363</v>
      </c>
      <c r="F2" s="1">
        <v>11</v>
      </c>
      <c r="G2" s="1">
        <v>19.329999999999998</v>
      </c>
      <c r="H2" s="1">
        <v>88.78</v>
      </c>
      <c r="I2" s="1">
        <v>31.75</v>
      </c>
      <c r="J2" s="1">
        <v>18.87</v>
      </c>
      <c r="M2" s="1" t="s">
        <v>10</v>
      </c>
      <c r="N2" s="1" t="s">
        <v>11</v>
      </c>
      <c r="O2" s="1" t="b">
        <v>0</v>
      </c>
      <c r="P2" s="1">
        <v>76</v>
      </c>
      <c r="Q2" s="1">
        <v>224</v>
      </c>
      <c r="R2" s="1">
        <v>22</v>
      </c>
      <c r="S2" s="1">
        <v>25.33</v>
      </c>
      <c r="T2" s="1">
        <v>77.55</v>
      </c>
      <c r="U2" s="1">
        <v>38.19</v>
      </c>
      <c r="V2" s="1">
        <v>23.6</v>
      </c>
    </row>
    <row r="3" spans="1:22" x14ac:dyDescent="0.3">
      <c r="A3" s="1" t="s">
        <v>10</v>
      </c>
      <c r="B3" s="1" t="s">
        <v>12</v>
      </c>
      <c r="C3" s="1" t="b">
        <v>0</v>
      </c>
      <c r="D3" s="1">
        <v>86</v>
      </c>
      <c r="E3" s="1">
        <v>406</v>
      </c>
      <c r="F3" s="1">
        <v>12</v>
      </c>
      <c r="G3" s="1">
        <v>17.48</v>
      </c>
      <c r="H3" s="1">
        <v>87.76</v>
      </c>
      <c r="I3" s="1">
        <v>29.15</v>
      </c>
      <c r="J3" s="1">
        <v>17.059999999999999</v>
      </c>
      <c r="M3" s="1" t="s">
        <v>10</v>
      </c>
      <c r="N3" s="1" t="s">
        <v>12</v>
      </c>
      <c r="O3" s="1" t="b">
        <v>0</v>
      </c>
      <c r="P3" s="1">
        <v>59</v>
      </c>
      <c r="Q3" s="1">
        <v>233</v>
      </c>
      <c r="R3" s="1">
        <v>39</v>
      </c>
      <c r="S3" s="1">
        <v>20.21</v>
      </c>
      <c r="T3" s="1">
        <v>60.2</v>
      </c>
      <c r="U3" s="1">
        <v>30.26</v>
      </c>
      <c r="V3" s="1">
        <v>17.82</v>
      </c>
    </row>
    <row r="4" spans="1:22" x14ac:dyDescent="0.3">
      <c r="A4" s="1" t="s">
        <v>10</v>
      </c>
      <c r="B4" s="1" t="s">
        <v>13</v>
      </c>
      <c r="C4" s="1" t="b">
        <v>0</v>
      </c>
      <c r="D4" s="1">
        <v>79</v>
      </c>
      <c r="E4" s="1">
        <v>276</v>
      </c>
      <c r="F4" s="1">
        <v>19</v>
      </c>
      <c r="G4" s="1">
        <v>22.25</v>
      </c>
      <c r="H4" s="1">
        <v>80.61</v>
      </c>
      <c r="I4" s="1">
        <v>34.880000000000003</v>
      </c>
      <c r="J4" s="1">
        <v>21.12</v>
      </c>
      <c r="M4" s="1" t="s">
        <v>10</v>
      </c>
      <c r="N4" s="1" t="s">
        <v>13</v>
      </c>
      <c r="O4" s="1" t="b">
        <v>0</v>
      </c>
      <c r="P4" s="1">
        <v>67</v>
      </c>
      <c r="Q4" s="1">
        <v>183</v>
      </c>
      <c r="R4" s="1">
        <v>31</v>
      </c>
      <c r="S4" s="1">
        <v>26.8</v>
      </c>
      <c r="T4" s="1">
        <v>68.37</v>
      </c>
      <c r="U4" s="1">
        <v>38.51</v>
      </c>
      <c r="V4" s="1">
        <v>23.84</v>
      </c>
    </row>
    <row r="5" spans="1:22" x14ac:dyDescent="0.3">
      <c r="A5" s="1" t="s">
        <v>10</v>
      </c>
      <c r="B5" s="1" t="s">
        <v>14</v>
      </c>
      <c r="C5" s="1" t="b">
        <v>0</v>
      </c>
      <c r="D5" s="1">
        <v>85</v>
      </c>
      <c r="E5" s="1">
        <v>338</v>
      </c>
      <c r="F5" s="1">
        <v>13</v>
      </c>
      <c r="G5" s="1">
        <v>20.09</v>
      </c>
      <c r="H5" s="1">
        <v>86.73</v>
      </c>
      <c r="I5" s="1">
        <v>32.630000000000003</v>
      </c>
      <c r="J5" s="1">
        <v>19.5</v>
      </c>
      <c r="M5" s="1" t="s">
        <v>10</v>
      </c>
      <c r="N5" s="1" t="s">
        <v>14</v>
      </c>
      <c r="O5" s="1" t="b">
        <v>0</v>
      </c>
      <c r="P5" s="1">
        <v>56</v>
      </c>
      <c r="Q5" s="1">
        <v>157</v>
      </c>
      <c r="R5" s="1">
        <v>42</v>
      </c>
      <c r="S5" s="1">
        <v>26.29</v>
      </c>
      <c r="T5" s="1">
        <v>57.14</v>
      </c>
      <c r="U5" s="1">
        <v>36.01</v>
      </c>
      <c r="V5" s="1">
        <v>21.96</v>
      </c>
    </row>
    <row r="6" spans="1:22" x14ac:dyDescent="0.3">
      <c r="A6" s="1" t="s">
        <v>10</v>
      </c>
      <c r="B6" s="1" t="s">
        <v>15</v>
      </c>
      <c r="C6" s="1" t="b">
        <v>0</v>
      </c>
      <c r="D6" s="1">
        <v>80</v>
      </c>
      <c r="E6" s="1">
        <v>319</v>
      </c>
      <c r="F6" s="1">
        <v>18</v>
      </c>
      <c r="G6" s="1">
        <v>20.05</v>
      </c>
      <c r="H6" s="1">
        <v>81.63</v>
      </c>
      <c r="I6" s="1">
        <v>32.19</v>
      </c>
      <c r="J6" s="1">
        <v>19.18</v>
      </c>
      <c r="M6" s="1" t="s">
        <v>10</v>
      </c>
      <c r="N6" s="1" t="s">
        <v>15</v>
      </c>
      <c r="O6" s="1" t="b">
        <v>0</v>
      </c>
      <c r="P6" s="1">
        <v>67</v>
      </c>
      <c r="Q6" s="1">
        <v>197</v>
      </c>
      <c r="R6" s="1">
        <v>31</v>
      </c>
      <c r="S6" s="1">
        <v>25.38</v>
      </c>
      <c r="T6" s="1">
        <v>68.37</v>
      </c>
      <c r="U6" s="1">
        <v>37.020000000000003</v>
      </c>
      <c r="V6" s="1">
        <v>22.71</v>
      </c>
    </row>
    <row r="7" spans="1:22" x14ac:dyDescent="0.3">
      <c r="G7" s="4">
        <f>AVERAGE(G2:G6)</f>
        <v>19.84</v>
      </c>
      <c r="H7" s="4">
        <f t="shared" ref="H7:J7" si="0">AVERAGE(H2:H6)</f>
        <v>85.102000000000004</v>
      </c>
      <c r="I7" s="4">
        <f t="shared" si="0"/>
        <v>32.119999999999997</v>
      </c>
      <c r="J7" s="4">
        <f t="shared" si="0"/>
        <v>19.145999999999997</v>
      </c>
      <c r="S7" s="4">
        <f>AVERAGE(S2:S6)</f>
        <v>24.802</v>
      </c>
      <c r="T7" s="4">
        <f t="shared" ref="T7:V7" si="1">AVERAGE(T2:T6)</f>
        <v>66.325999999999993</v>
      </c>
      <c r="U7" s="4">
        <f t="shared" si="1"/>
        <v>35.998000000000005</v>
      </c>
      <c r="V7" s="4">
        <f t="shared" si="1"/>
        <v>21.986000000000001</v>
      </c>
    </row>
    <row r="9" spans="1:22" x14ac:dyDescent="0.3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M9" s="3" t="s">
        <v>0</v>
      </c>
      <c r="N9" s="3" t="s">
        <v>1</v>
      </c>
      <c r="O9" s="3" t="s">
        <v>2</v>
      </c>
      <c r="P9" s="3" t="s">
        <v>3</v>
      </c>
      <c r="Q9" s="3" t="s">
        <v>4</v>
      </c>
      <c r="R9" s="3" t="s">
        <v>5</v>
      </c>
      <c r="S9" s="3" t="s">
        <v>6</v>
      </c>
      <c r="T9" s="3" t="s">
        <v>7</v>
      </c>
      <c r="U9" s="3" t="s">
        <v>8</v>
      </c>
      <c r="V9" s="3" t="s">
        <v>9</v>
      </c>
    </row>
    <row r="10" spans="1:22" x14ac:dyDescent="0.3">
      <c r="A10" s="1" t="s">
        <v>10</v>
      </c>
      <c r="B10" s="1" t="s">
        <v>11</v>
      </c>
      <c r="C10" s="1" t="b">
        <v>1</v>
      </c>
      <c r="D10" s="1">
        <v>92</v>
      </c>
      <c r="E10" s="1">
        <v>435</v>
      </c>
      <c r="F10" s="1">
        <v>6</v>
      </c>
      <c r="G10" s="1">
        <v>17.46</v>
      </c>
      <c r="H10" s="1">
        <v>93.88</v>
      </c>
      <c r="I10" s="1">
        <v>29.44</v>
      </c>
      <c r="J10" s="1">
        <v>17.260000000000002</v>
      </c>
      <c r="M10" s="1" t="s">
        <v>10</v>
      </c>
      <c r="N10" s="1" t="s">
        <v>11</v>
      </c>
      <c r="O10" s="1" t="b">
        <v>1</v>
      </c>
      <c r="P10" s="1">
        <v>84</v>
      </c>
      <c r="Q10" s="1">
        <v>299</v>
      </c>
      <c r="R10" s="1">
        <v>14</v>
      </c>
      <c r="S10" s="1">
        <v>21.93</v>
      </c>
      <c r="T10" s="1">
        <v>85.71</v>
      </c>
      <c r="U10" s="1">
        <v>34.93</v>
      </c>
      <c r="V10" s="1">
        <v>21.16</v>
      </c>
    </row>
    <row r="11" spans="1:22" x14ac:dyDescent="0.3">
      <c r="A11" s="1" t="s">
        <v>10</v>
      </c>
      <c r="B11" s="1" t="s">
        <v>12</v>
      </c>
      <c r="C11" s="1" t="b">
        <v>1</v>
      </c>
      <c r="D11" s="1">
        <v>95</v>
      </c>
      <c r="E11" s="1">
        <v>479</v>
      </c>
      <c r="F11" s="1">
        <v>3</v>
      </c>
      <c r="G11" s="1">
        <v>16.55</v>
      </c>
      <c r="H11" s="1">
        <v>96.94</v>
      </c>
      <c r="I11" s="1">
        <v>28.27</v>
      </c>
      <c r="J11" s="1">
        <v>16.46</v>
      </c>
      <c r="M11" s="1" t="s">
        <v>10</v>
      </c>
      <c r="N11" s="1" t="s">
        <v>12</v>
      </c>
      <c r="O11" s="1" t="b">
        <v>1</v>
      </c>
      <c r="P11" s="1">
        <v>80</v>
      </c>
      <c r="Q11" s="1">
        <v>340</v>
      </c>
      <c r="R11" s="1">
        <v>18</v>
      </c>
      <c r="S11" s="1">
        <v>19.05</v>
      </c>
      <c r="T11" s="1">
        <v>81.63</v>
      </c>
      <c r="U11" s="1">
        <v>30.89</v>
      </c>
      <c r="V11" s="1">
        <v>18.260000000000002</v>
      </c>
    </row>
    <row r="12" spans="1:22" x14ac:dyDescent="0.3">
      <c r="A12" s="1" t="s">
        <v>10</v>
      </c>
      <c r="B12" s="1" t="s">
        <v>13</v>
      </c>
      <c r="C12" s="1" t="b">
        <v>1</v>
      </c>
      <c r="D12" s="1">
        <v>90</v>
      </c>
      <c r="E12" s="1">
        <v>361</v>
      </c>
      <c r="F12" s="1">
        <v>8</v>
      </c>
      <c r="G12" s="1">
        <v>19.96</v>
      </c>
      <c r="H12" s="1">
        <v>91.84</v>
      </c>
      <c r="I12" s="1">
        <v>32.79</v>
      </c>
      <c r="J12" s="1">
        <v>19.61</v>
      </c>
      <c r="M12" s="1" t="s">
        <v>10</v>
      </c>
      <c r="N12" s="1" t="s">
        <v>13</v>
      </c>
      <c r="O12" s="1" t="b">
        <v>1</v>
      </c>
      <c r="P12" s="1">
        <v>78</v>
      </c>
      <c r="Q12" s="1">
        <v>217</v>
      </c>
      <c r="R12" s="1">
        <v>20</v>
      </c>
      <c r="S12" s="1">
        <v>26.44</v>
      </c>
      <c r="T12" s="1">
        <v>79.59</v>
      </c>
      <c r="U12" s="1">
        <v>39.69</v>
      </c>
      <c r="V12" s="1">
        <v>24.76</v>
      </c>
    </row>
    <row r="13" spans="1:22" x14ac:dyDescent="0.3">
      <c r="A13" s="1" t="s">
        <v>10</v>
      </c>
      <c r="B13" s="1" t="s">
        <v>14</v>
      </c>
      <c r="C13" s="1" t="b">
        <v>1</v>
      </c>
      <c r="D13" s="1">
        <v>95</v>
      </c>
      <c r="E13" s="1">
        <v>411</v>
      </c>
      <c r="F13" s="1">
        <v>3</v>
      </c>
      <c r="G13" s="1">
        <v>18.77</v>
      </c>
      <c r="H13" s="1">
        <v>96.94</v>
      </c>
      <c r="I13" s="1">
        <v>31.46</v>
      </c>
      <c r="J13" s="1">
        <v>18.66</v>
      </c>
      <c r="M13" s="1" t="s">
        <v>10</v>
      </c>
      <c r="N13" s="1" t="s">
        <v>14</v>
      </c>
      <c r="O13" s="1" t="b">
        <v>1</v>
      </c>
      <c r="P13" s="1">
        <v>68</v>
      </c>
      <c r="Q13" s="1">
        <v>221</v>
      </c>
      <c r="R13" s="1">
        <v>30</v>
      </c>
      <c r="S13" s="1">
        <v>23.53</v>
      </c>
      <c r="T13" s="1">
        <v>69.39</v>
      </c>
      <c r="U13" s="1">
        <v>35.14</v>
      </c>
      <c r="V13" s="1">
        <v>21.32</v>
      </c>
    </row>
    <row r="14" spans="1:22" x14ac:dyDescent="0.3">
      <c r="A14" s="1" t="s">
        <v>10</v>
      </c>
      <c r="B14" s="1" t="s">
        <v>15</v>
      </c>
      <c r="C14" s="1" t="b">
        <v>1</v>
      </c>
      <c r="D14" s="1">
        <v>87</v>
      </c>
      <c r="E14" s="1">
        <v>393</v>
      </c>
      <c r="F14" s="1">
        <v>11</v>
      </c>
      <c r="G14" s="1">
        <v>18.12</v>
      </c>
      <c r="H14" s="1">
        <v>88.78</v>
      </c>
      <c r="I14" s="1">
        <v>30.1</v>
      </c>
      <c r="J14" s="1">
        <v>17.72</v>
      </c>
      <c r="M14" s="1" t="s">
        <v>10</v>
      </c>
      <c r="N14" s="1" t="s">
        <v>15</v>
      </c>
      <c r="O14" s="1" t="b">
        <v>1</v>
      </c>
      <c r="P14" s="1">
        <v>83</v>
      </c>
      <c r="Q14" s="1">
        <v>260</v>
      </c>
      <c r="R14" s="1">
        <v>15</v>
      </c>
      <c r="S14" s="1">
        <v>24.2</v>
      </c>
      <c r="T14" s="1">
        <v>84.69</v>
      </c>
      <c r="U14" s="1">
        <v>37.64</v>
      </c>
      <c r="V14" s="1">
        <v>23.18</v>
      </c>
    </row>
    <row r="15" spans="1:22" x14ac:dyDescent="0.3">
      <c r="G15" s="2">
        <f>AVERAGE(G10:G14)</f>
        <v>18.172000000000004</v>
      </c>
      <c r="H15" s="2">
        <f t="shared" ref="H15:J15" si="2">AVERAGE(H10:H14)</f>
        <v>93.676000000000002</v>
      </c>
      <c r="I15" s="2">
        <f t="shared" si="2"/>
        <v>30.411999999999999</v>
      </c>
      <c r="J15" s="2">
        <f t="shared" si="2"/>
        <v>17.942</v>
      </c>
      <c r="S15" s="2">
        <f>AVERAGE(S10:S14)</f>
        <v>23.03</v>
      </c>
      <c r="T15" s="2">
        <f t="shared" ref="T15:V15" si="3">AVERAGE(T10:T14)</f>
        <v>80.201999999999998</v>
      </c>
      <c r="U15" s="2">
        <f t="shared" si="3"/>
        <v>35.657999999999994</v>
      </c>
      <c r="V15" s="2">
        <f t="shared" si="3"/>
        <v>21.736000000000001</v>
      </c>
    </row>
    <row r="19" spans="1:22" x14ac:dyDescent="0.3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M19" s="3" t="s">
        <v>0</v>
      </c>
      <c r="N19" s="3" t="s">
        <v>1</v>
      </c>
      <c r="O19" s="3" t="s">
        <v>2</v>
      </c>
      <c r="P19" s="3" t="s">
        <v>3</v>
      </c>
      <c r="Q19" s="3" t="s">
        <v>4</v>
      </c>
      <c r="R19" s="3" t="s">
        <v>5</v>
      </c>
      <c r="S19" s="3" t="s">
        <v>6</v>
      </c>
      <c r="T19" s="3" t="s">
        <v>7</v>
      </c>
      <c r="U19" s="3" t="s">
        <v>8</v>
      </c>
      <c r="V19" s="3" t="s">
        <v>9</v>
      </c>
    </row>
    <row r="20" spans="1:22" x14ac:dyDescent="0.3">
      <c r="A20" s="1" t="s">
        <v>16</v>
      </c>
      <c r="B20" s="1" t="s">
        <v>11</v>
      </c>
      <c r="C20" s="1" t="b">
        <v>0</v>
      </c>
      <c r="D20" s="1">
        <v>291</v>
      </c>
      <c r="E20" s="1">
        <v>208</v>
      </c>
      <c r="F20" s="1">
        <v>94</v>
      </c>
      <c r="G20" s="1">
        <v>58.32</v>
      </c>
      <c r="H20" s="1">
        <v>75.58</v>
      </c>
      <c r="I20" s="1">
        <v>65.84</v>
      </c>
      <c r="J20" s="1">
        <v>49.07</v>
      </c>
      <c r="M20" s="1" t="s">
        <v>16</v>
      </c>
      <c r="N20" s="1" t="s">
        <v>11</v>
      </c>
      <c r="O20" s="1" t="b">
        <v>0</v>
      </c>
      <c r="P20" s="1">
        <v>204</v>
      </c>
      <c r="Q20" s="1">
        <v>150</v>
      </c>
      <c r="R20" s="1">
        <v>181</v>
      </c>
      <c r="S20" s="1">
        <v>57.63</v>
      </c>
      <c r="T20" s="1">
        <v>52.99</v>
      </c>
      <c r="U20" s="1">
        <v>55.21</v>
      </c>
      <c r="V20" s="1">
        <v>38.130000000000003</v>
      </c>
    </row>
    <row r="21" spans="1:22" x14ac:dyDescent="0.3">
      <c r="A21" s="1" t="s">
        <v>16</v>
      </c>
      <c r="B21" s="1" t="s">
        <v>12</v>
      </c>
      <c r="C21" s="1" t="b">
        <v>0</v>
      </c>
      <c r="D21" s="1">
        <v>313</v>
      </c>
      <c r="E21" s="1">
        <v>242</v>
      </c>
      <c r="F21" s="1">
        <v>72</v>
      </c>
      <c r="G21" s="1">
        <v>56.4</v>
      </c>
      <c r="H21" s="1">
        <v>81.3</v>
      </c>
      <c r="I21" s="1">
        <v>66.599999999999994</v>
      </c>
      <c r="J21" s="1">
        <v>49.92</v>
      </c>
      <c r="M21" s="1" t="s">
        <v>16</v>
      </c>
      <c r="N21" s="1" t="s">
        <v>12</v>
      </c>
      <c r="O21" s="1" t="b">
        <v>0</v>
      </c>
      <c r="P21" s="1">
        <v>221</v>
      </c>
      <c r="Q21" s="1">
        <v>192</v>
      </c>
      <c r="R21" s="1">
        <v>164</v>
      </c>
      <c r="S21" s="1">
        <v>53.51</v>
      </c>
      <c r="T21" s="1">
        <v>57.4</v>
      </c>
      <c r="U21" s="1">
        <v>55.39</v>
      </c>
      <c r="V21" s="1">
        <v>38.299999999999997</v>
      </c>
    </row>
    <row r="22" spans="1:22" x14ac:dyDescent="0.3">
      <c r="A22" s="1" t="s">
        <v>16</v>
      </c>
      <c r="B22" s="1" t="s">
        <v>13</v>
      </c>
      <c r="C22" s="1" t="b">
        <v>0</v>
      </c>
      <c r="D22" s="1">
        <v>234</v>
      </c>
      <c r="E22" s="1">
        <v>175</v>
      </c>
      <c r="F22" s="1">
        <v>151</v>
      </c>
      <c r="G22" s="1">
        <v>57.21</v>
      </c>
      <c r="H22" s="1">
        <v>60.78</v>
      </c>
      <c r="I22" s="1">
        <v>58.94</v>
      </c>
      <c r="J22" s="1">
        <v>41.79</v>
      </c>
      <c r="M22" s="1" t="s">
        <v>16</v>
      </c>
      <c r="N22" s="1" t="s">
        <v>13</v>
      </c>
      <c r="O22" s="1" t="b">
        <v>0</v>
      </c>
      <c r="P22" s="1">
        <v>162</v>
      </c>
      <c r="Q22" s="1">
        <v>127</v>
      </c>
      <c r="R22" s="1">
        <v>223</v>
      </c>
      <c r="S22" s="1">
        <v>56.06</v>
      </c>
      <c r="T22" s="1">
        <v>42.08</v>
      </c>
      <c r="U22" s="1">
        <v>48.07</v>
      </c>
      <c r="V22" s="1">
        <v>31.64</v>
      </c>
    </row>
    <row r="23" spans="1:22" x14ac:dyDescent="0.3">
      <c r="A23" s="1" t="s">
        <v>16</v>
      </c>
      <c r="B23" s="1" t="s">
        <v>14</v>
      </c>
      <c r="C23" s="1" t="b">
        <v>0</v>
      </c>
      <c r="D23" s="1">
        <v>275</v>
      </c>
      <c r="E23" s="1">
        <v>190</v>
      </c>
      <c r="F23" s="1">
        <v>110</v>
      </c>
      <c r="G23" s="1">
        <v>59.14</v>
      </c>
      <c r="H23" s="1">
        <v>71.430000000000007</v>
      </c>
      <c r="I23" s="1">
        <v>64.709999999999994</v>
      </c>
      <c r="J23" s="1">
        <v>47.83</v>
      </c>
      <c r="M23" s="1" t="s">
        <v>16</v>
      </c>
      <c r="N23" s="1" t="s">
        <v>14</v>
      </c>
      <c r="O23" s="1" t="b">
        <v>0</v>
      </c>
      <c r="P23" s="1">
        <v>150</v>
      </c>
      <c r="Q23" s="1">
        <v>116</v>
      </c>
      <c r="R23" s="1">
        <v>235</v>
      </c>
      <c r="S23" s="1">
        <v>56.39</v>
      </c>
      <c r="T23" s="1">
        <v>38.96</v>
      </c>
      <c r="U23" s="1">
        <v>46.08</v>
      </c>
      <c r="V23" s="1">
        <v>29.94</v>
      </c>
    </row>
    <row r="24" spans="1:22" x14ac:dyDescent="0.3">
      <c r="A24" s="1" t="s">
        <v>16</v>
      </c>
      <c r="B24" s="1" t="s">
        <v>15</v>
      </c>
      <c r="C24" s="1" t="b">
        <v>0</v>
      </c>
      <c r="D24" s="1">
        <v>265</v>
      </c>
      <c r="E24" s="1">
        <v>200</v>
      </c>
      <c r="F24" s="1">
        <v>120</v>
      </c>
      <c r="G24" s="1">
        <v>56.99</v>
      </c>
      <c r="H24" s="1">
        <v>68.83</v>
      </c>
      <c r="I24" s="1">
        <v>62.35</v>
      </c>
      <c r="J24" s="1">
        <v>45.3</v>
      </c>
      <c r="M24" s="1" t="s">
        <v>16</v>
      </c>
      <c r="N24" s="1" t="s">
        <v>15</v>
      </c>
      <c r="O24" s="1" t="b">
        <v>0</v>
      </c>
      <c r="P24" s="1">
        <v>176</v>
      </c>
      <c r="Q24" s="1">
        <v>125</v>
      </c>
      <c r="R24" s="1">
        <v>209</v>
      </c>
      <c r="S24" s="1">
        <v>58.47</v>
      </c>
      <c r="T24" s="1">
        <v>45.71</v>
      </c>
      <c r="U24" s="1">
        <v>51.31</v>
      </c>
      <c r="V24" s="1">
        <v>34.51</v>
      </c>
    </row>
    <row r="25" spans="1:22" x14ac:dyDescent="0.3">
      <c r="G25" s="4">
        <f>AVERAGE(G20:G24)</f>
        <v>57.612000000000002</v>
      </c>
      <c r="H25" s="4">
        <f t="shared" ref="H25:J25" si="4">AVERAGE(H20:H24)</f>
        <v>71.584000000000003</v>
      </c>
      <c r="I25" s="4">
        <f t="shared" si="4"/>
        <v>63.688000000000002</v>
      </c>
      <c r="J25" s="4">
        <f t="shared" si="4"/>
        <v>46.782000000000004</v>
      </c>
      <c r="S25" s="4">
        <f>AVERAGE(S20:S24)</f>
        <v>56.411999999999992</v>
      </c>
      <c r="T25" s="4">
        <f t="shared" ref="T25:V25" si="5">AVERAGE(T20:T24)</f>
        <v>47.428000000000004</v>
      </c>
      <c r="U25" s="4">
        <f t="shared" si="5"/>
        <v>51.212000000000003</v>
      </c>
      <c r="V25" s="4">
        <f t="shared" si="5"/>
        <v>34.504000000000005</v>
      </c>
    </row>
    <row r="27" spans="1:22" x14ac:dyDescent="0.3">
      <c r="A27" s="3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3" t="s">
        <v>9</v>
      </c>
      <c r="M27" s="3" t="s">
        <v>0</v>
      </c>
      <c r="N27" s="3" t="s">
        <v>1</v>
      </c>
      <c r="O27" s="3" t="s">
        <v>2</v>
      </c>
      <c r="P27" s="3" t="s">
        <v>3</v>
      </c>
      <c r="Q27" s="3" t="s">
        <v>4</v>
      </c>
      <c r="R27" s="3" t="s">
        <v>5</v>
      </c>
      <c r="S27" s="3" t="s">
        <v>6</v>
      </c>
      <c r="T27" s="3" t="s">
        <v>7</v>
      </c>
      <c r="U27" s="3" t="s">
        <v>8</v>
      </c>
      <c r="V27" s="3" t="s">
        <v>9</v>
      </c>
    </row>
    <row r="28" spans="1:22" x14ac:dyDescent="0.3">
      <c r="A28" s="1" t="s">
        <v>16</v>
      </c>
      <c r="B28" s="1" t="s">
        <v>11</v>
      </c>
      <c r="C28" s="1" t="b">
        <v>1</v>
      </c>
      <c r="D28" s="1">
        <v>340</v>
      </c>
      <c r="E28" s="1">
        <v>216</v>
      </c>
      <c r="F28" s="1">
        <v>45</v>
      </c>
      <c r="G28" s="1">
        <v>61.15</v>
      </c>
      <c r="H28" s="1">
        <v>88.31</v>
      </c>
      <c r="I28" s="1">
        <v>72.260000000000005</v>
      </c>
      <c r="J28" s="1">
        <v>56.57</v>
      </c>
      <c r="M28" s="1" t="s">
        <v>16</v>
      </c>
      <c r="N28" s="1" t="s">
        <v>11</v>
      </c>
      <c r="O28" s="1" t="b">
        <v>1</v>
      </c>
      <c r="P28" s="1">
        <v>268</v>
      </c>
      <c r="Q28" s="1">
        <v>171</v>
      </c>
      <c r="R28" s="1">
        <v>117</v>
      </c>
      <c r="S28" s="1">
        <v>61.05</v>
      </c>
      <c r="T28" s="1">
        <v>69.61</v>
      </c>
      <c r="U28" s="1">
        <v>65.05</v>
      </c>
      <c r="V28" s="1">
        <v>48.2</v>
      </c>
    </row>
    <row r="29" spans="1:22" x14ac:dyDescent="0.3">
      <c r="A29" s="1" t="s">
        <v>16</v>
      </c>
      <c r="B29" s="1" t="s">
        <v>12</v>
      </c>
      <c r="C29" s="1" t="b">
        <v>1</v>
      </c>
      <c r="D29" s="1">
        <v>365</v>
      </c>
      <c r="E29" s="1">
        <v>249</v>
      </c>
      <c r="F29" s="1">
        <v>20</v>
      </c>
      <c r="G29" s="1">
        <v>59.45</v>
      </c>
      <c r="H29" s="1">
        <v>94.81</v>
      </c>
      <c r="I29" s="1">
        <v>73.069999999999993</v>
      </c>
      <c r="J29" s="1">
        <v>57.57</v>
      </c>
      <c r="M29" s="1" t="s">
        <v>16</v>
      </c>
      <c r="N29" s="1" t="s">
        <v>12</v>
      </c>
      <c r="O29" s="1" t="b">
        <v>1</v>
      </c>
      <c r="P29" s="1">
        <v>342</v>
      </c>
      <c r="Q29" s="1">
        <v>208</v>
      </c>
      <c r="R29" s="1">
        <v>43</v>
      </c>
      <c r="S29" s="1">
        <v>62.18</v>
      </c>
      <c r="T29" s="1">
        <v>88.83</v>
      </c>
      <c r="U29" s="1">
        <v>73.16</v>
      </c>
      <c r="V29" s="1">
        <v>57.67</v>
      </c>
    </row>
    <row r="30" spans="1:22" x14ac:dyDescent="0.3">
      <c r="A30" s="1" t="s">
        <v>16</v>
      </c>
      <c r="B30" s="1" t="s">
        <v>13</v>
      </c>
      <c r="C30" s="1" t="b">
        <v>1</v>
      </c>
      <c r="D30" s="1">
        <v>304</v>
      </c>
      <c r="E30" s="1">
        <v>192</v>
      </c>
      <c r="F30" s="1">
        <v>81</v>
      </c>
      <c r="G30" s="1">
        <v>61.29</v>
      </c>
      <c r="H30" s="1">
        <v>78.959999999999994</v>
      </c>
      <c r="I30" s="1">
        <v>69.010000000000005</v>
      </c>
      <c r="J30" s="1">
        <v>52.69</v>
      </c>
      <c r="M30" s="1" t="s">
        <v>16</v>
      </c>
      <c r="N30" s="1" t="s">
        <v>13</v>
      </c>
      <c r="O30" s="1" t="b">
        <v>1</v>
      </c>
      <c r="P30" s="1">
        <v>213</v>
      </c>
      <c r="Q30" s="1">
        <v>147</v>
      </c>
      <c r="R30" s="1">
        <v>172</v>
      </c>
      <c r="S30" s="1">
        <v>59.17</v>
      </c>
      <c r="T30" s="1">
        <v>55.32</v>
      </c>
      <c r="U30" s="1">
        <v>57.18</v>
      </c>
      <c r="V30" s="1">
        <v>40.04</v>
      </c>
    </row>
    <row r="31" spans="1:22" x14ac:dyDescent="0.3">
      <c r="A31" s="1" t="s">
        <v>16</v>
      </c>
      <c r="B31" s="1" t="s">
        <v>14</v>
      </c>
      <c r="C31" s="1" t="b">
        <v>1</v>
      </c>
      <c r="D31" s="1">
        <v>333</v>
      </c>
      <c r="E31" s="1">
        <v>204</v>
      </c>
      <c r="F31" s="1">
        <v>52</v>
      </c>
      <c r="G31" s="1">
        <v>62.01</v>
      </c>
      <c r="H31" s="1">
        <v>86.49</v>
      </c>
      <c r="I31" s="1">
        <v>72.23</v>
      </c>
      <c r="J31" s="1">
        <v>56.54</v>
      </c>
      <c r="M31" s="1" t="s">
        <v>16</v>
      </c>
      <c r="N31" s="1" t="s">
        <v>14</v>
      </c>
      <c r="O31" s="1" t="b">
        <v>1</v>
      </c>
      <c r="P31" s="1">
        <v>225</v>
      </c>
      <c r="Q31" s="1">
        <v>139</v>
      </c>
      <c r="R31" s="1">
        <v>160</v>
      </c>
      <c r="S31" s="1">
        <v>61.81</v>
      </c>
      <c r="T31" s="1">
        <v>58.44</v>
      </c>
      <c r="U31" s="1">
        <v>60.08</v>
      </c>
      <c r="V31" s="1">
        <v>42.94</v>
      </c>
    </row>
    <row r="32" spans="1:22" x14ac:dyDescent="0.3">
      <c r="A32" s="1" t="s">
        <v>16</v>
      </c>
      <c r="B32" s="1" t="s">
        <v>15</v>
      </c>
      <c r="C32" s="1" t="b">
        <v>1</v>
      </c>
      <c r="D32" s="1">
        <v>331</v>
      </c>
      <c r="E32" s="1">
        <v>212</v>
      </c>
      <c r="F32" s="1">
        <v>54</v>
      </c>
      <c r="G32" s="1">
        <v>60.96</v>
      </c>
      <c r="H32" s="1">
        <v>85.97</v>
      </c>
      <c r="I32" s="1">
        <v>71.34</v>
      </c>
      <c r="J32" s="1">
        <v>55.44</v>
      </c>
      <c r="M32" s="1" t="s">
        <v>16</v>
      </c>
      <c r="N32" s="1" t="s">
        <v>15</v>
      </c>
      <c r="O32" s="1" t="b">
        <v>1</v>
      </c>
      <c r="P32" s="1">
        <v>231</v>
      </c>
      <c r="Q32" s="1">
        <v>139</v>
      </c>
      <c r="R32" s="1">
        <v>154</v>
      </c>
      <c r="S32" s="1">
        <v>62.43</v>
      </c>
      <c r="T32" s="1">
        <v>60</v>
      </c>
      <c r="U32" s="1">
        <v>61.19</v>
      </c>
      <c r="V32" s="1">
        <v>44.08</v>
      </c>
    </row>
    <row r="33" spans="7:22" x14ac:dyDescent="0.3">
      <c r="G33" s="2">
        <f>AVERAGE(G28:G32)</f>
        <v>60.971999999999994</v>
      </c>
      <c r="H33" s="2">
        <f t="shared" ref="H33:J33" si="6">AVERAGE(H28:H32)</f>
        <v>86.907999999999987</v>
      </c>
      <c r="I33" s="2">
        <f t="shared" si="6"/>
        <v>71.581999999999994</v>
      </c>
      <c r="J33" s="2">
        <f t="shared" si="6"/>
        <v>55.761999999999986</v>
      </c>
      <c r="S33" s="2">
        <f>AVERAGE(S28:S32)</f>
        <v>61.327999999999996</v>
      </c>
      <c r="T33" s="2">
        <f t="shared" ref="T33:V33" si="7">AVERAGE(T28:T32)</f>
        <v>66.44</v>
      </c>
      <c r="U33" s="2">
        <f t="shared" si="7"/>
        <v>63.331999999999994</v>
      </c>
      <c r="V33" s="2">
        <f t="shared" si="7"/>
        <v>46.585999999999999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87CA-DBA8-4F59-91A0-30478C7C523A}">
  <dimension ref="A1:D9"/>
  <sheetViews>
    <sheetView topLeftCell="A13" workbookViewId="0">
      <selection activeCell="H2" sqref="H2"/>
    </sheetView>
  </sheetViews>
  <sheetFormatPr defaultRowHeight="14.4" x14ac:dyDescent="0.3"/>
  <cols>
    <col min="1" max="2" width="18.77734375" customWidth="1"/>
    <col min="3" max="3" width="18.44140625" customWidth="1"/>
    <col min="4" max="4" width="20" customWidth="1"/>
  </cols>
  <sheetData>
    <row r="1" spans="1:4" ht="23.4" customHeight="1" x14ac:dyDescent="0.3">
      <c r="A1" s="7"/>
      <c r="B1" s="7"/>
      <c r="C1" s="6" t="s">
        <v>21</v>
      </c>
      <c r="D1" s="6" t="s">
        <v>22</v>
      </c>
    </row>
    <row r="2" spans="1:4" x14ac:dyDescent="0.3">
      <c r="A2" s="7" t="s">
        <v>10</v>
      </c>
      <c r="B2" s="6" t="s">
        <v>17</v>
      </c>
      <c r="C2" s="8">
        <v>23.915999999999997</v>
      </c>
      <c r="D2" s="5">
        <v>19.006000000000004</v>
      </c>
    </row>
    <row r="3" spans="1:4" x14ac:dyDescent="0.3">
      <c r="A3" s="7"/>
      <c r="B3" s="6" t="s">
        <v>18</v>
      </c>
      <c r="C3" s="5">
        <v>73.263999999999982</v>
      </c>
      <c r="D3" s="8">
        <v>89.388999999999996</v>
      </c>
    </row>
    <row r="4" spans="1:4" x14ac:dyDescent="0.3">
      <c r="A4" s="7"/>
      <c r="B4" s="6" t="s">
        <v>19</v>
      </c>
      <c r="C4" s="8">
        <v>35.827999999999996</v>
      </c>
      <c r="D4" s="5">
        <v>31.266000000000002</v>
      </c>
    </row>
    <row r="5" spans="1:4" x14ac:dyDescent="0.3">
      <c r="A5" s="7"/>
      <c r="B5" s="6" t="s">
        <v>20</v>
      </c>
      <c r="C5" s="8">
        <v>21.861000000000001</v>
      </c>
      <c r="D5" s="5">
        <v>18.544</v>
      </c>
    </row>
    <row r="6" spans="1:4" x14ac:dyDescent="0.3">
      <c r="A6" s="7" t="s">
        <v>16</v>
      </c>
      <c r="B6" s="6" t="s">
        <v>17</v>
      </c>
      <c r="C6" s="5">
        <v>58.86999999999999</v>
      </c>
      <c r="D6" s="8">
        <v>59.291999999999994</v>
      </c>
    </row>
    <row r="7" spans="1:4" x14ac:dyDescent="0.3">
      <c r="A7" s="7"/>
      <c r="B7" s="6" t="s">
        <v>18</v>
      </c>
      <c r="C7" s="5">
        <v>56.93399999999999</v>
      </c>
      <c r="D7" s="8">
        <v>79.246000000000009</v>
      </c>
    </row>
    <row r="8" spans="1:4" x14ac:dyDescent="0.3">
      <c r="A8" s="7"/>
      <c r="B8" s="6" t="s">
        <v>19</v>
      </c>
      <c r="C8" s="5">
        <v>57.272000000000006</v>
      </c>
      <c r="D8" s="8">
        <v>67.635000000000005</v>
      </c>
    </row>
    <row r="9" spans="1:4" x14ac:dyDescent="0.3">
      <c r="A9" s="7"/>
      <c r="B9" s="6" t="s">
        <v>20</v>
      </c>
      <c r="C9" s="5">
        <v>40.545000000000002</v>
      </c>
      <c r="D9" s="8">
        <v>51.272000000000006</v>
      </c>
    </row>
  </sheetData>
  <mergeCells count="3">
    <mergeCell ref="A2:A5"/>
    <mergeCell ref="A1:B1"/>
    <mergeCell ref="A6:A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306E-DAAA-403B-B5F1-7A369551F9E5}">
  <dimension ref="A1:F10"/>
  <sheetViews>
    <sheetView topLeftCell="A16" workbookViewId="0">
      <selection activeCell="M35" sqref="M35"/>
    </sheetView>
  </sheetViews>
  <sheetFormatPr defaultRowHeight="14.4" x14ac:dyDescent="0.3"/>
  <cols>
    <col min="1" max="1" width="13.33203125" customWidth="1"/>
    <col min="2" max="2" width="15.6640625" customWidth="1"/>
    <col min="3" max="3" width="12.5546875" customWidth="1"/>
    <col min="4" max="4" width="14.44140625" customWidth="1"/>
    <col min="5" max="5" width="12.5546875" customWidth="1"/>
    <col min="6" max="6" width="14.44140625" customWidth="1"/>
  </cols>
  <sheetData>
    <row r="1" spans="1:6" ht="23.4" customHeight="1" x14ac:dyDescent="0.3">
      <c r="A1" s="7"/>
      <c r="B1" s="7"/>
      <c r="C1" s="7" t="s">
        <v>21</v>
      </c>
      <c r="D1" s="7"/>
      <c r="E1" s="7" t="s">
        <v>22</v>
      </c>
      <c r="F1" s="7"/>
    </row>
    <row r="2" spans="1:6" ht="23.4" customHeight="1" x14ac:dyDescent="0.3">
      <c r="A2" s="7"/>
      <c r="B2" s="7"/>
      <c r="C2" s="6" t="s">
        <v>2</v>
      </c>
      <c r="D2" s="6" t="s">
        <v>23</v>
      </c>
      <c r="E2" s="6" t="s">
        <v>2</v>
      </c>
      <c r="F2" s="6" t="s">
        <v>23</v>
      </c>
    </row>
    <row r="3" spans="1:6" x14ac:dyDescent="0.3">
      <c r="A3" s="7" t="s">
        <v>10</v>
      </c>
      <c r="B3" s="6" t="s">
        <v>17</v>
      </c>
      <c r="C3" s="5">
        <v>23.03</v>
      </c>
      <c r="D3" s="8">
        <v>24.802</v>
      </c>
      <c r="E3" s="5">
        <v>18.172000000000004</v>
      </c>
      <c r="F3" s="5">
        <v>19.84</v>
      </c>
    </row>
    <row r="4" spans="1:6" x14ac:dyDescent="0.3">
      <c r="A4" s="7"/>
      <c r="B4" s="6" t="s">
        <v>18</v>
      </c>
      <c r="C4" s="5">
        <v>80.201999999999998</v>
      </c>
      <c r="D4" s="5">
        <v>66.325999999999993</v>
      </c>
      <c r="E4" s="8">
        <v>93.676000000000002</v>
      </c>
      <c r="F4" s="5">
        <v>85.102000000000004</v>
      </c>
    </row>
    <row r="5" spans="1:6" x14ac:dyDescent="0.3">
      <c r="A5" s="7"/>
      <c r="B5" s="6" t="s">
        <v>19</v>
      </c>
      <c r="C5" s="5">
        <v>35.657999999999994</v>
      </c>
      <c r="D5" s="8">
        <v>35.998000000000005</v>
      </c>
      <c r="E5" s="5">
        <v>30.411999999999999</v>
      </c>
      <c r="F5" s="5">
        <v>32.119999999999997</v>
      </c>
    </row>
    <row r="6" spans="1:6" x14ac:dyDescent="0.3">
      <c r="A6" s="7"/>
      <c r="B6" s="6" t="s">
        <v>20</v>
      </c>
      <c r="C6" s="5">
        <v>21.736000000000001</v>
      </c>
      <c r="D6" s="8">
        <v>21.986000000000001</v>
      </c>
      <c r="E6" s="5">
        <v>17.942</v>
      </c>
      <c r="F6" s="5">
        <v>19.145999999999997</v>
      </c>
    </row>
    <row r="7" spans="1:6" x14ac:dyDescent="0.3">
      <c r="A7" s="7" t="s">
        <v>16</v>
      </c>
      <c r="B7" s="6" t="s">
        <v>17</v>
      </c>
      <c r="C7" s="8">
        <v>61.327999999999996</v>
      </c>
      <c r="D7" s="5">
        <v>56.411999999999992</v>
      </c>
      <c r="E7" s="5">
        <v>60.971999999999994</v>
      </c>
      <c r="F7" s="5">
        <v>57.612000000000002</v>
      </c>
    </row>
    <row r="8" spans="1:6" x14ac:dyDescent="0.3">
      <c r="A8" s="7"/>
      <c r="B8" s="6" t="s">
        <v>18</v>
      </c>
      <c r="C8" s="5">
        <v>66.44</v>
      </c>
      <c r="D8" s="5">
        <v>47.428000000000004</v>
      </c>
      <c r="E8" s="8">
        <v>86.907999999999987</v>
      </c>
      <c r="F8" s="5">
        <v>71.584000000000003</v>
      </c>
    </row>
    <row r="9" spans="1:6" x14ac:dyDescent="0.3">
      <c r="A9" s="7"/>
      <c r="B9" s="6" t="s">
        <v>19</v>
      </c>
      <c r="C9" s="5">
        <v>63.331999999999994</v>
      </c>
      <c r="D9" s="5">
        <v>51.212000000000003</v>
      </c>
      <c r="E9" s="8">
        <v>71.581999999999994</v>
      </c>
      <c r="F9" s="5">
        <v>63.688000000000002</v>
      </c>
    </row>
    <row r="10" spans="1:6" x14ac:dyDescent="0.3">
      <c r="A10" s="7"/>
      <c r="B10" s="6" t="s">
        <v>20</v>
      </c>
      <c r="C10" s="5">
        <v>46.585999999999999</v>
      </c>
      <c r="D10" s="5">
        <v>34.504000000000005</v>
      </c>
      <c r="E10" s="8">
        <v>55.761999999999986</v>
      </c>
      <c r="F10" s="5">
        <v>46.782000000000004</v>
      </c>
    </row>
  </sheetData>
  <mergeCells count="5">
    <mergeCell ref="E1:F1"/>
    <mergeCell ref="A3:A6"/>
    <mergeCell ref="A7:A10"/>
    <mergeCell ref="A1:B2"/>
    <mergeCell ref="C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Penggunaan Filtering</vt:lpstr>
      <vt:lpstr>Penggunaan Expanded</vt:lpstr>
      <vt:lpstr>Rekap</vt:lpstr>
      <vt:lpstr>Rekap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2026-05-26T11:43:40Z</dcterms:created>
  <dcterms:modified xsi:type="dcterms:W3CDTF">2026-05-26T16:09:24Z</dcterms:modified>
</cp:coreProperties>
</file>